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WINDOWS11\Documents\"/>
    </mc:Choice>
  </mc:AlternateContent>
  <xr:revisionPtr revIDLastSave="0" documentId="13_ncr:1_{E4AFD4CB-F4AD-489A-AEA4-FEB502DA7B14}" xr6:coauthVersionLast="47" xr6:coauthVersionMax="47" xr10:uidLastSave="{00000000-0000-0000-0000-000000000000}"/>
  <bookViews>
    <workbookView xWindow="-110" yWindow="-110" windowWidth="19420" windowHeight="10300" tabRatio="731" activeTab="3" xr2:uid="{00000000-000D-0000-FFFF-FFFF00000000}"/>
  </bookViews>
  <sheets>
    <sheet name="Raw Data" sheetId="1" r:id="rId1"/>
    <sheet name="Data Olahan" sheetId="3" state="hidden" r:id="rId2"/>
    <sheet name="PIVOT" sheetId="4" r:id="rId3"/>
    <sheet name="Dashboard" sheetId="10" r:id="rId4"/>
    <sheet name="Search Inventory" sheetId="9" r:id="rId5"/>
  </sheets>
  <definedNames>
    <definedName name="Slicer_Kategori_Barang">#N/A</definedName>
    <definedName name="Slicer_Lokasi_Penyimpanan">#N/A</definedName>
    <definedName name="Slicer_Status">#N/A</definedName>
    <definedName name="Slicer_Supplier">#N/A</definedName>
  </definedNames>
  <calcPr calcId="191029"/>
  <pivotCaches>
    <pivotCache cacheId="48"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E4" i="10" l="1"/>
  <c r="D4" i="10"/>
  <c r="C4" i="10"/>
  <c r="B4" i="10"/>
  <c r="A4" i="10"/>
  <c r="B12" i="9"/>
  <c r="B11" i="9"/>
  <c r="B10" i="9"/>
  <c r="B9" i="9"/>
  <c r="B8" i="9"/>
  <c r="B7" i="9"/>
  <c r="B6" i="9"/>
  <c r="J314" i="3"/>
  <c r="J313" i="3"/>
  <c r="J312" i="3"/>
  <c r="J311" i="3"/>
  <c r="J310" i="3"/>
  <c r="J309" i="3"/>
  <c r="J308" i="3"/>
  <c r="J307" i="3"/>
  <c r="J306" i="3"/>
  <c r="J305" i="3"/>
  <c r="J304" i="3"/>
  <c r="J303" i="3"/>
  <c r="J302" i="3"/>
  <c r="J301" i="3"/>
  <c r="J300" i="3"/>
  <c r="J299" i="3"/>
  <c r="J298" i="3"/>
  <c r="J297" i="3"/>
  <c r="J296" i="3"/>
  <c r="J295" i="3"/>
  <c r="J294" i="3"/>
  <c r="J293" i="3"/>
  <c r="J292" i="3"/>
  <c r="J291" i="3"/>
  <c r="J290" i="3"/>
  <c r="J289" i="3"/>
  <c r="J288" i="3"/>
  <c r="J287" i="3"/>
  <c r="J286" i="3"/>
  <c r="J285" i="3"/>
  <c r="J284" i="3"/>
  <c r="J283" i="3"/>
  <c r="J282" i="3"/>
  <c r="J281" i="3"/>
  <c r="J280" i="3"/>
  <c r="J279" i="3"/>
  <c r="J278" i="3"/>
  <c r="J277" i="3"/>
  <c r="J276" i="3"/>
  <c r="J275" i="3"/>
  <c r="J274" i="3"/>
  <c r="J273" i="3"/>
  <c r="J272" i="3"/>
  <c r="J271" i="3"/>
  <c r="J270" i="3"/>
  <c r="J269" i="3"/>
  <c r="J268" i="3"/>
  <c r="J267" i="3"/>
  <c r="J266" i="3"/>
  <c r="J265" i="3"/>
  <c r="J264" i="3"/>
  <c r="J263" i="3"/>
  <c r="J262" i="3"/>
  <c r="J261" i="3"/>
  <c r="J260" i="3"/>
  <c r="J259" i="3"/>
  <c r="J258" i="3"/>
  <c r="J257" i="3"/>
  <c r="J256" i="3"/>
  <c r="J255" i="3"/>
  <c r="J254" i="3"/>
  <c r="J253" i="3"/>
  <c r="J252" i="3"/>
  <c r="J251" i="3"/>
  <c r="J250" i="3"/>
  <c r="J249" i="3"/>
  <c r="J248" i="3"/>
  <c r="J247" i="3"/>
  <c r="J246" i="3"/>
  <c r="J245" i="3"/>
  <c r="J244" i="3"/>
  <c r="J243" i="3"/>
  <c r="J242" i="3"/>
  <c r="J241" i="3"/>
  <c r="J240" i="3"/>
  <c r="J239" i="3"/>
  <c r="J238" i="3"/>
  <c r="J237" i="3"/>
  <c r="J236" i="3"/>
  <c r="J235" i="3"/>
  <c r="J234" i="3"/>
  <c r="J233" i="3"/>
  <c r="J232" i="3"/>
  <c r="J231" i="3"/>
  <c r="J230" i="3"/>
  <c r="J229" i="3"/>
  <c r="J228" i="3"/>
  <c r="J227" i="3"/>
  <c r="J226" i="3"/>
  <c r="J225" i="3"/>
  <c r="J224" i="3"/>
  <c r="J223" i="3"/>
  <c r="J222" i="3"/>
  <c r="J221" i="3"/>
  <c r="J220" i="3"/>
  <c r="J219" i="3"/>
  <c r="J218" i="3"/>
  <c r="J217" i="3"/>
  <c r="J216" i="3"/>
  <c r="J215" i="3"/>
  <c r="J214" i="3"/>
  <c r="J213" i="3"/>
  <c r="J212" i="3"/>
  <c r="J211" i="3"/>
  <c r="J210" i="3"/>
  <c r="J209" i="3"/>
  <c r="J208" i="3"/>
  <c r="J207" i="3"/>
  <c r="J206" i="3"/>
  <c r="J205" i="3"/>
  <c r="J204" i="3"/>
  <c r="J203" i="3"/>
  <c r="J202" i="3"/>
  <c r="J201" i="3"/>
  <c r="J200" i="3"/>
  <c r="J199" i="3"/>
  <c r="J198" i="3"/>
  <c r="J197" i="3"/>
  <c r="J196" i="3"/>
  <c r="J195" i="3"/>
  <c r="J194" i="3"/>
  <c r="J193" i="3"/>
  <c r="J192" i="3"/>
  <c r="J191" i="3"/>
  <c r="J190" i="3"/>
  <c r="J189" i="3"/>
  <c r="J188" i="3"/>
  <c r="J187" i="3"/>
  <c r="J186" i="3"/>
  <c r="J185" i="3"/>
  <c r="J184" i="3"/>
  <c r="J183" i="3"/>
  <c r="J182" i="3"/>
  <c r="J181" i="3"/>
  <c r="J180" i="3"/>
  <c r="J179" i="3"/>
  <c r="J178" i="3"/>
  <c r="J177" i="3"/>
  <c r="J176" i="3"/>
  <c r="J175" i="3"/>
  <c r="J174" i="3"/>
  <c r="J173" i="3"/>
  <c r="J172" i="3"/>
  <c r="J171" i="3"/>
  <c r="J170" i="3"/>
  <c r="J169" i="3"/>
  <c r="J168" i="3"/>
  <c r="J167" i="3"/>
  <c r="J166" i="3"/>
  <c r="J165" i="3"/>
  <c r="J164" i="3"/>
  <c r="J163" i="3"/>
  <c r="J162" i="3"/>
  <c r="J161" i="3"/>
  <c r="J160" i="3"/>
  <c r="J159" i="3"/>
  <c r="J158" i="3"/>
  <c r="J157" i="3"/>
  <c r="J156" i="3"/>
  <c r="J155" i="3"/>
  <c r="J154" i="3"/>
  <c r="J153" i="3"/>
  <c r="J152" i="3"/>
  <c r="J151" i="3"/>
  <c r="J150" i="3"/>
  <c r="J149" i="3"/>
  <c r="J148" i="3"/>
  <c r="J147" i="3"/>
  <c r="J146" i="3"/>
  <c r="J145" i="3"/>
  <c r="J144" i="3"/>
  <c r="J143" i="3"/>
  <c r="J142" i="3"/>
  <c r="J141" i="3"/>
  <c r="J140" i="3"/>
  <c r="J139" i="3"/>
  <c r="J138" i="3"/>
  <c r="J137" i="3"/>
  <c r="J136" i="3"/>
  <c r="J135" i="3"/>
  <c r="J134" i="3"/>
  <c r="J133" i="3"/>
  <c r="J132" i="3"/>
  <c r="J131" i="3"/>
  <c r="J130" i="3"/>
  <c r="J129" i="3"/>
  <c r="J128" i="3"/>
  <c r="J127" i="3"/>
  <c r="J126" i="3"/>
  <c r="J125" i="3"/>
  <c r="J124" i="3"/>
  <c r="J123" i="3"/>
  <c r="J122" i="3"/>
  <c r="J121" i="3"/>
  <c r="J120" i="3"/>
  <c r="J119" i="3"/>
  <c r="J118" i="3"/>
  <c r="J117" i="3"/>
  <c r="J116" i="3"/>
  <c r="J115" i="3"/>
  <c r="J114" i="3"/>
  <c r="J113" i="3"/>
  <c r="J112" i="3"/>
  <c r="J111" i="3"/>
  <c r="J110" i="3"/>
  <c r="J109" i="3"/>
  <c r="J108" i="3"/>
  <c r="J107" i="3"/>
  <c r="J106" i="3"/>
  <c r="J105" i="3"/>
  <c r="J104" i="3"/>
  <c r="J103" i="3"/>
  <c r="J102" i="3"/>
  <c r="J101" i="3"/>
  <c r="J100" i="3"/>
  <c r="J99" i="3"/>
  <c r="J98" i="3"/>
  <c r="J97" i="3"/>
  <c r="J96" i="3"/>
  <c r="J95" i="3"/>
  <c r="J94" i="3"/>
  <c r="J93" i="3"/>
  <c r="J92" i="3"/>
  <c r="J91" i="3"/>
  <c r="J90" i="3"/>
  <c r="J89" i="3"/>
  <c r="J88" i="3"/>
  <c r="J87" i="3"/>
  <c r="J86" i="3"/>
  <c r="J85" i="3"/>
  <c r="J84" i="3"/>
  <c r="J83" i="3"/>
  <c r="J82" i="3"/>
  <c r="J81" i="3"/>
  <c r="J80" i="3"/>
  <c r="J79" i="3"/>
  <c r="J78" i="3"/>
  <c r="J77" i="3"/>
  <c r="J76" i="3"/>
  <c r="J75" i="3"/>
  <c r="J74" i="3"/>
  <c r="J73" i="3"/>
  <c r="J72" i="3"/>
  <c r="J71" i="3"/>
  <c r="J70" i="3"/>
  <c r="J69" i="3"/>
  <c r="J68" i="3"/>
  <c r="J67" i="3"/>
  <c r="J66" i="3"/>
  <c r="J65" i="3"/>
  <c r="J64" i="3"/>
  <c r="J63" i="3"/>
  <c r="J62" i="3"/>
  <c r="J61" i="3"/>
  <c r="J60" i="3"/>
  <c r="J59" i="3"/>
  <c r="J58" i="3"/>
  <c r="J57" i="3"/>
  <c r="J56" i="3"/>
  <c r="J55" i="3"/>
  <c r="J54" i="3"/>
  <c r="J53" i="3"/>
  <c r="J52" i="3"/>
  <c r="J51" i="3"/>
  <c r="J50" i="3"/>
  <c r="J49" i="3"/>
  <c r="J48" i="3"/>
  <c r="J47" i="3"/>
  <c r="J46" i="3"/>
  <c r="J45" i="3"/>
  <c r="J44" i="3"/>
  <c r="J43" i="3"/>
  <c r="J42" i="3"/>
  <c r="J41" i="3"/>
  <c r="J40" i="3"/>
  <c r="J39" i="3"/>
  <c r="J38" i="3"/>
  <c r="J37" i="3"/>
  <c r="J36" i="3"/>
  <c r="J35" i="3"/>
  <c r="J34" i="3"/>
  <c r="J33" i="3"/>
  <c r="J32" i="3"/>
  <c r="J31" i="3"/>
  <c r="J30" i="3"/>
  <c r="J29" i="3"/>
  <c r="J28" i="3"/>
  <c r="J27" i="3"/>
  <c r="J26" i="3"/>
  <c r="J25" i="3"/>
  <c r="J24" i="3"/>
  <c r="J23" i="3"/>
  <c r="J22" i="3"/>
  <c r="J21" i="3"/>
  <c r="J20" i="3"/>
  <c r="J19" i="3"/>
  <c r="J18" i="3"/>
  <c r="J17" i="3"/>
  <c r="J16" i="3"/>
  <c r="J15" i="3"/>
  <c r="J14" i="3"/>
  <c r="J13" i="3"/>
  <c r="J12" i="3"/>
  <c r="J11" i="3"/>
  <c r="J10" i="3"/>
  <c r="J9" i="3"/>
  <c r="J8" i="3"/>
  <c r="J7" i="3"/>
  <c r="J6" i="3"/>
  <c r="J5" i="3"/>
  <c r="J311" i="1"/>
  <c r="J310" i="1"/>
  <c r="J309" i="1"/>
  <c r="J308" i="1"/>
  <c r="J307" i="1"/>
  <c r="J306" i="1"/>
  <c r="J305" i="1"/>
  <c r="J304" i="1"/>
  <c r="J303" i="1"/>
  <c r="J302" i="1"/>
  <c r="J301" i="1"/>
  <c r="J300" i="1"/>
  <c r="J299" i="1"/>
  <c r="J298" i="1"/>
  <c r="J297" i="1"/>
  <c r="J296" i="1"/>
  <c r="J295" i="1"/>
  <c r="J294" i="1"/>
  <c r="J293" i="1"/>
  <c r="J292" i="1"/>
  <c r="J291" i="1"/>
  <c r="J290" i="1"/>
  <c r="J289" i="1"/>
  <c r="J288" i="1"/>
  <c r="J287" i="1"/>
  <c r="J286" i="1"/>
  <c r="J285" i="1"/>
  <c r="J284" i="1"/>
  <c r="J283" i="1"/>
  <c r="J282" i="1"/>
  <c r="J281" i="1"/>
  <c r="J280" i="1"/>
  <c r="J279" i="1"/>
  <c r="J278" i="1"/>
  <c r="J277" i="1"/>
  <c r="J276" i="1"/>
  <c r="J275" i="1"/>
  <c r="J274" i="1"/>
  <c r="J273" i="1"/>
  <c r="J272" i="1"/>
  <c r="J271" i="1"/>
  <c r="J270" i="1"/>
  <c r="J269" i="1"/>
  <c r="J268" i="1"/>
  <c r="J267" i="1"/>
  <c r="J266" i="1"/>
  <c r="J265" i="1"/>
  <c r="J264" i="1"/>
  <c r="J263" i="1"/>
  <c r="J262" i="1"/>
  <c r="J261" i="1"/>
  <c r="J260" i="1"/>
  <c r="J259" i="1"/>
  <c r="J258" i="1"/>
  <c r="J257" i="1"/>
  <c r="J256" i="1"/>
  <c r="J255" i="1"/>
  <c r="J254" i="1"/>
  <c r="J253" i="1"/>
  <c r="J252" i="1"/>
  <c r="J251" i="1"/>
  <c r="J250" i="1"/>
  <c r="J249" i="1"/>
  <c r="J248" i="1"/>
  <c r="J247" i="1"/>
  <c r="J246" i="1"/>
  <c r="J245" i="1"/>
  <c r="J244" i="1"/>
  <c r="J243" i="1"/>
  <c r="J242" i="1"/>
  <c r="J241" i="1"/>
  <c r="J240" i="1"/>
  <c r="J239" i="1"/>
  <c r="J238" i="1"/>
  <c r="J237" i="1"/>
  <c r="J236" i="1"/>
  <c r="J235" i="1"/>
  <c r="J234" i="1"/>
  <c r="J233" i="1"/>
  <c r="J232" i="1"/>
  <c r="J231" i="1"/>
  <c r="J230" i="1"/>
  <c r="J229" i="1"/>
  <c r="J228" i="1"/>
  <c r="J227" i="1"/>
  <c r="J226" i="1"/>
  <c r="J225" i="1"/>
  <c r="J224" i="1"/>
  <c r="J223" i="1"/>
  <c r="J222" i="1"/>
  <c r="J221" i="1"/>
  <c r="J220" i="1"/>
  <c r="J219" i="1"/>
  <c r="J218" i="1"/>
  <c r="J217" i="1"/>
  <c r="J216" i="1"/>
  <c r="J215" i="1"/>
  <c r="J214" i="1"/>
  <c r="J213" i="1"/>
  <c r="J212" i="1"/>
  <c r="J211" i="1"/>
  <c r="J210" i="1"/>
  <c r="J209" i="1"/>
  <c r="J208" i="1"/>
  <c r="J207" i="1"/>
  <c r="J206" i="1"/>
  <c r="J205" i="1"/>
  <c r="J204" i="1"/>
  <c r="J203" i="1"/>
  <c r="J202" i="1"/>
  <c r="J201" i="1"/>
  <c r="J200" i="1"/>
  <c r="J199" i="1"/>
  <c r="J198" i="1"/>
  <c r="J197" i="1"/>
  <c r="J196" i="1"/>
  <c r="J195" i="1"/>
  <c r="J194" i="1"/>
  <c r="J193" i="1"/>
  <c r="J192" i="1"/>
  <c r="J191" i="1"/>
  <c r="J190" i="1"/>
  <c r="J189" i="1"/>
  <c r="J188" i="1"/>
  <c r="J187" i="1"/>
  <c r="J186" i="1"/>
  <c r="J185" i="1"/>
  <c r="J184" i="1"/>
  <c r="J183" i="1"/>
  <c r="J182" i="1"/>
  <c r="J181" i="1"/>
  <c r="J180" i="1"/>
  <c r="J179" i="1"/>
  <c r="J178" i="1"/>
  <c r="J177" i="1"/>
  <c r="J176" i="1"/>
  <c r="J175" i="1"/>
  <c r="J174" i="1"/>
  <c r="J173" i="1"/>
  <c r="J172" i="1"/>
  <c r="J171" i="1"/>
  <c r="J170" i="1"/>
  <c r="J169" i="1"/>
  <c r="J168" i="1"/>
  <c r="J167" i="1"/>
  <c r="J166" i="1"/>
  <c r="J165" i="1"/>
  <c r="J164" i="1"/>
  <c r="J163" i="1"/>
  <c r="J162" i="1"/>
  <c r="J161" i="1"/>
  <c r="J160" i="1"/>
  <c r="J159" i="1"/>
  <c r="J158" i="1"/>
  <c r="J157" i="1"/>
  <c r="J156" i="1"/>
  <c r="J155" i="1"/>
  <c r="J154" i="1"/>
  <c r="J153" i="1"/>
  <c r="J152" i="1"/>
  <c r="J151" i="1"/>
  <c r="J150" i="1"/>
  <c r="J149" i="1"/>
  <c r="J148" i="1"/>
  <c r="J147" i="1"/>
  <c r="J146" i="1"/>
  <c r="J145" i="1"/>
  <c r="J144" i="1"/>
  <c r="J143" i="1"/>
  <c r="J142" i="1"/>
  <c r="J141" i="1"/>
  <c r="J140" i="1"/>
  <c r="J139" i="1"/>
  <c r="J138" i="1"/>
  <c r="J137" i="1"/>
  <c r="J136" i="1"/>
  <c r="J135" i="1"/>
  <c r="J134" i="1"/>
  <c r="J133" i="1"/>
  <c r="J132" i="1"/>
  <c r="J131" i="1"/>
  <c r="J130" i="1"/>
  <c r="J129" i="1"/>
  <c r="J128" i="1"/>
  <c r="J127" i="1"/>
  <c r="J126" i="1"/>
  <c r="J125" i="1"/>
  <c r="J124" i="1"/>
  <c r="J123" i="1"/>
  <c r="J122" i="1"/>
  <c r="J121" i="1"/>
  <c r="J120" i="1"/>
  <c r="J119" i="1"/>
  <c r="J118" i="1"/>
  <c r="J117" i="1"/>
  <c r="J116" i="1"/>
  <c r="J115" i="1"/>
  <c r="J114" i="1"/>
  <c r="J113" i="1"/>
  <c r="J112" i="1"/>
  <c r="J111" i="1"/>
  <c r="J110" i="1"/>
  <c r="J109" i="1"/>
  <c r="J108" i="1"/>
  <c r="J107" i="1"/>
  <c r="J106" i="1"/>
  <c r="J105" i="1"/>
  <c r="J104" i="1"/>
  <c r="J103" i="1"/>
  <c r="J102" i="1"/>
  <c r="J101" i="1"/>
  <c r="J100" i="1"/>
  <c r="J99" i="1"/>
  <c r="J98" i="1"/>
  <c r="J97" i="1"/>
  <c r="J96" i="1"/>
  <c r="J95" i="1"/>
  <c r="J94" i="1"/>
  <c r="J93" i="1"/>
  <c r="J92" i="1"/>
  <c r="J91" i="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J4" i="1"/>
  <c r="J3" i="1"/>
  <c r="J2" i="1"/>
  <c r="N5" i="3" l="1"/>
  <c r="L5" i="3"/>
  <c r="N6" i="3"/>
  <c r="L6" i="3"/>
  <c r="N7" i="3"/>
  <c r="L7" i="3"/>
  <c r="N8" i="3"/>
  <c r="L8" i="3"/>
  <c r="N9" i="3"/>
  <c r="L9" i="3"/>
  <c r="N10" i="3"/>
  <c r="L10" i="3"/>
  <c r="N11" i="3"/>
  <c r="L11" i="3"/>
  <c r="N12" i="3"/>
  <c r="L12" i="3"/>
  <c r="N13" i="3"/>
  <c r="L13" i="3"/>
  <c r="N14" i="3"/>
  <c r="L14" i="3"/>
  <c r="N15" i="3"/>
  <c r="L15" i="3"/>
  <c r="N16" i="3"/>
  <c r="L16" i="3"/>
  <c r="N17" i="3"/>
  <c r="L17" i="3"/>
  <c r="N18" i="3"/>
  <c r="L18" i="3"/>
  <c r="N19" i="3"/>
  <c r="L19" i="3"/>
  <c r="N20" i="3"/>
  <c r="L20" i="3"/>
  <c r="N21" i="3"/>
  <c r="L21" i="3"/>
  <c r="N22" i="3"/>
  <c r="L22" i="3"/>
  <c r="N23" i="3"/>
  <c r="L23" i="3"/>
  <c r="N24" i="3"/>
  <c r="L24" i="3"/>
  <c r="N25" i="3"/>
  <c r="L25" i="3"/>
  <c r="N26" i="3"/>
  <c r="L26" i="3"/>
  <c r="N27" i="3"/>
  <c r="L27" i="3"/>
  <c r="N28" i="3"/>
  <c r="L28" i="3"/>
  <c r="N29" i="3"/>
  <c r="L29" i="3"/>
  <c r="N30" i="3"/>
  <c r="L30" i="3"/>
  <c r="N31" i="3"/>
  <c r="L31" i="3"/>
  <c r="N32" i="3"/>
  <c r="L32" i="3"/>
  <c r="N33" i="3"/>
  <c r="L33" i="3"/>
  <c r="N34" i="3"/>
  <c r="L34" i="3"/>
  <c r="N35" i="3"/>
  <c r="L35" i="3"/>
  <c r="N36" i="3"/>
  <c r="L36" i="3"/>
  <c r="N37" i="3"/>
  <c r="L37" i="3"/>
  <c r="N38" i="3"/>
  <c r="L38" i="3"/>
  <c r="N39" i="3"/>
  <c r="L39" i="3"/>
  <c r="N40" i="3"/>
  <c r="L40" i="3"/>
  <c r="N41" i="3"/>
  <c r="L41" i="3"/>
  <c r="N42" i="3"/>
  <c r="L42" i="3"/>
  <c r="N43" i="3"/>
  <c r="L43" i="3"/>
  <c r="N44" i="3"/>
  <c r="L44" i="3"/>
  <c r="N45" i="3"/>
  <c r="L45" i="3"/>
  <c r="N46" i="3"/>
  <c r="L46" i="3"/>
  <c r="N47" i="3"/>
  <c r="L47" i="3"/>
  <c r="N48" i="3"/>
  <c r="L48" i="3"/>
  <c r="N49" i="3"/>
  <c r="L49" i="3"/>
  <c r="N50" i="3"/>
  <c r="L50" i="3"/>
  <c r="N51" i="3"/>
  <c r="L51" i="3"/>
  <c r="N52" i="3"/>
  <c r="L52" i="3"/>
  <c r="N53" i="3"/>
  <c r="L53" i="3"/>
  <c r="N54" i="3"/>
  <c r="L54" i="3"/>
  <c r="N55" i="3"/>
  <c r="L55" i="3"/>
  <c r="N56" i="3"/>
  <c r="L56" i="3"/>
  <c r="N57" i="3"/>
  <c r="L57" i="3"/>
  <c r="N58" i="3"/>
  <c r="L58" i="3"/>
  <c r="N59" i="3"/>
  <c r="L59" i="3"/>
  <c r="N60" i="3"/>
  <c r="L60" i="3"/>
  <c r="N61" i="3"/>
  <c r="L61" i="3"/>
  <c r="N62" i="3"/>
  <c r="L62" i="3"/>
  <c r="N63" i="3"/>
  <c r="L63" i="3"/>
  <c r="N64" i="3"/>
  <c r="L64" i="3"/>
  <c r="N65" i="3"/>
  <c r="L65" i="3"/>
  <c r="N66" i="3"/>
  <c r="L66" i="3"/>
  <c r="N67" i="3"/>
  <c r="L67" i="3"/>
  <c r="N68" i="3"/>
  <c r="L68" i="3"/>
  <c r="N69" i="3"/>
  <c r="L69" i="3"/>
  <c r="N70" i="3"/>
  <c r="L70" i="3"/>
  <c r="N71" i="3"/>
  <c r="L71" i="3"/>
  <c r="N72" i="3"/>
  <c r="L72" i="3"/>
  <c r="N73" i="3"/>
  <c r="L73" i="3"/>
  <c r="N74" i="3"/>
  <c r="L74" i="3"/>
  <c r="N75" i="3"/>
  <c r="L75" i="3"/>
  <c r="N76" i="3"/>
  <c r="L76" i="3"/>
  <c r="N77" i="3"/>
  <c r="L77" i="3"/>
  <c r="N78" i="3"/>
  <c r="L78" i="3"/>
  <c r="N79" i="3"/>
  <c r="L79" i="3"/>
  <c r="N80" i="3"/>
  <c r="L80" i="3"/>
  <c r="N81" i="3"/>
  <c r="L81" i="3"/>
  <c r="N82" i="3"/>
  <c r="L82" i="3"/>
  <c r="N83" i="3"/>
  <c r="L83" i="3"/>
  <c r="N84" i="3"/>
  <c r="L84" i="3"/>
  <c r="N85" i="3"/>
  <c r="L85" i="3"/>
  <c r="N86" i="3"/>
  <c r="L86" i="3"/>
  <c r="N87" i="3"/>
  <c r="L87" i="3"/>
  <c r="N88" i="3"/>
  <c r="L88" i="3"/>
  <c r="N89" i="3"/>
  <c r="L89" i="3"/>
  <c r="N90" i="3"/>
  <c r="L90" i="3"/>
  <c r="N91" i="3"/>
  <c r="L91" i="3"/>
  <c r="N92" i="3"/>
  <c r="L92" i="3"/>
  <c r="N93" i="3"/>
  <c r="L93" i="3"/>
  <c r="N94" i="3"/>
  <c r="L94" i="3"/>
  <c r="N95" i="3"/>
  <c r="L95" i="3"/>
  <c r="N96" i="3"/>
  <c r="L96" i="3"/>
  <c r="N97" i="3"/>
  <c r="L97" i="3"/>
  <c r="N98" i="3"/>
  <c r="L98" i="3"/>
  <c r="N99" i="3"/>
  <c r="L99" i="3"/>
  <c r="N100" i="3"/>
  <c r="L100" i="3"/>
  <c r="N101" i="3"/>
  <c r="L101" i="3"/>
  <c r="N102" i="3"/>
  <c r="L102" i="3"/>
  <c r="N103" i="3"/>
  <c r="L103" i="3"/>
  <c r="N104" i="3"/>
  <c r="L104" i="3"/>
  <c r="N105" i="3"/>
  <c r="L105" i="3"/>
  <c r="N106" i="3"/>
  <c r="L106" i="3"/>
  <c r="N107" i="3"/>
  <c r="L107" i="3"/>
  <c r="N108" i="3"/>
  <c r="L108" i="3"/>
  <c r="N109" i="3"/>
  <c r="L109" i="3"/>
  <c r="N110" i="3"/>
  <c r="L110" i="3"/>
  <c r="N111" i="3"/>
  <c r="L111" i="3"/>
  <c r="N112" i="3"/>
  <c r="L112" i="3"/>
  <c r="N113" i="3"/>
  <c r="L113" i="3"/>
  <c r="N114" i="3"/>
  <c r="L114" i="3"/>
  <c r="N115" i="3"/>
  <c r="L115" i="3"/>
  <c r="N116" i="3"/>
  <c r="L116" i="3"/>
  <c r="N117" i="3"/>
  <c r="L117" i="3"/>
  <c r="N118" i="3"/>
  <c r="L118" i="3"/>
  <c r="N119" i="3"/>
  <c r="L119" i="3"/>
  <c r="N120" i="3"/>
  <c r="L120" i="3"/>
  <c r="N121" i="3"/>
  <c r="L121" i="3"/>
  <c r="N122" i="3"/>
  <c r="L122" i="3"/>
  <c r="N123" i="3"/>
  <c r="L123" i="3"/>
  <c r="N124" i="3"/>
  <c r="L124" i="3"/>
  <c r="N125" i="3"/>
  <c r="L125" i="3"/>
  <c r="N126" i="3"/>
  <c r="L126" i="3"/>
  <c r="N127" i="3"/>
  <c r="L127" i="3"/>
  <c r="N128" i="3"/>
  <c r="L128" i="3"/>
  <c r="N129" i="3"/>
  <c r="L129" i="3"/>
  <c r="N130" i="3"/>
  <c r="L130" i="3"/>
  <c r="N131" i="3"/>
  <c r="L131" i="3"/>
  <c r="N132" i="3"/>
  <c r="L132" i="3"/>
  <c r="N133" i="3"/>
  <c r="L133" i="3"/>
  <c r="N134" i="3"/>
  <c r="L134" i="3"/>
  <c r="N135" i="3"/>
  <c r="L135" i="3"/>
  <c r="N136" i="3"/>
  <c r="L136" i="3"/>
  <c r="N137" i="3"/>
  <c r="L137" i="3"/>
  <c r="N138" i="3"/>
  <c r="L138" i="3"/>
  <c r="N139" i="3"/>
  <c r="L139" i="3"/>
  <c r="N140" i="3"/>
  <c r="L140" i="3"/>
  <c r="N141" i="3"/>
  <c r="L141" i="3"/>
  <c r="N142" i="3"/>
  <c r="L142" i="3"/>
  <c r="N143" i="3"/>
  <c r="L143" i="3"/>
  <c r="N144" i="3"/>
  <c r="L144" i="3"/>
  <c r="N145" i="3"/>
  <c r="L145" i="3"/>
  <c r="N146" i="3"/>
  <c r="L146" i="3"/>
  <c r="N147" i="3"/>
  <c r="L147" i="3"/>
  <c r="N148" i="3"/>
  <c r="L148" i="3"/>
  <c r="N149" i="3"/>
  <c r="L149" i="3"/>
  <c r="N150" i="3"/>
  <c r="L150" i="3"/>
  <c r="N151" i="3"/>
  <c r="L151" i="3"/>
  <c r="N152" i="3"/>
  <c r="L152" i="3"/>
  <c r="N153" i="3"/>
  <c r="L153" i="3"/>
  <c r="N154" i="3"/>
  <c r="L154" i="3"/>
  <c r="N155" i="3"/>
  <c r="L155" i="3"/>
  <c r="N156" i="3"/>
  <c r="L156" i="3"/>
  <c r="N157" i="3"/>
  <c r="L157" i="3"/>
  <c r="N158" i="3"/>
  <c r="L158" i="3"/>
  <c r="N159" i="3"/>
  <c r="L159" i="3"/>
  <c r="N160" i="3"/>
  <c r="L160" i="3"/>
  <c r="N161" i="3"/>
  <c r="L161" i="3"/>
  <c r="N162" i="3"/>
  <c r="L162" i="3"/>
  <c r="N163" i="3"/>
  <c r="L163" i="3"/>
  <c r="N164" i="3"/>
  <c r="L164" i="3"/>
  <c r="N165" i="3"/>
  <c r="L165" i="3"/>
  <c r="N166" i="3"/>
  <c r="L166" i="3"/>
  <c r="N167" i="3"/>
  <c r="L167" i="3"/>
  <c r="N168" i="3"/>
  <c r="L168" i="3"/>
  <c r="N169" i="3"/>
  <c r="L169" i="3"/>
  <c r="N170" i="3"/>
  <c r="L170" i="3"/>
  <c r="N171" i="3"/>
  <c r="L171" i="3"/>
  <c r="N172" i="3"/>
  <c r="L172" i="3"/>
  <c r="N173" i="3"/>
  <c r="L173" i="3"/>
  <c r="N174" i="3"/>
  <c r="L174" i="3"/>
  <c r="N175" i="3"/>
  <c r="L175" i="3"/>
  <c r="N176" i="3"/>
  <c r="L176" i="3"/>
  <c r="N177" i="3"/>
  <c r="L177" i="3"/>
  <c r="N178" i="3"/>
  <c r="L178" i="3"/>
  <c r="N179" i="3"/>
  <c r="L179" i="3"/>
  <c r="N180" i="3"/>
  <c r="L180" i="3"/>
  <c r="N181" i="3"/>
  <c r="L181" i="3"/>
  <c r="N182" i="3"/>
  <c r="L182" i="3"/>
  <c r="N183" i="3"/>
  <c r="L183" i="3"/>
  <c r="N184" i="3"/>
  <c r="L184" i="3"/>
  <c r="N185" i="3"/>
  <c r="L185" i="3"/>
  <c r="N186" i="3"/>
  <c r="L186" i="3"/>
  <c r="N187" i="3"/>
  <c r="L187" i="3"/>
  <c r="N188" i="3"/>
  <c r="L188" i="3"/>
  <c r="N189" i="3"/>
  <c r="L189" i="3"/>
  <c r="N190" i="3"/>
  <c r="L190" i="3"/>
  <c r="N191" i="3"/>
  <c r="L191" i="3"/>
  <c r="N192" i="3"/>
  <c r="L192" i="3"/>
  <c r="N193" i="3"/>
  <c r="L193" i="3"/>
  <c r="N194" i="3"/>
  <c r="L194" i="3"/>
  <c r="N195" i="3"/>
  <c r="L195" i="3"/>
  <c r="N196" i="3"/>
  <c r="L196" i="3"/>
  <c r="N197" i="3"/>
  <c r="L197" i="3"/>
  <c r="N198" i="3"/>
  <c r="L198" i="3"/>
  <c r="N199" i="3"/>
  <c r="L199" i="3"/>
  <c r="N200" i="3"/>
  <c r="L200" i="3"/>
  <c r="N201" i="3"/>
  <c r="L201" i="3"/>
  <c r="N202" i="3"/>
  <c r="L202" i="3"/>
  <c r="N203" i="3"/>
  <c r="L203" i="3"/>
  <c r="N204" i="3"/>
  <c r="L204" i="3"/>
  <c r="N205" i="3"/>
  <c r="L205" i="3"/>
  <c r="N206" i="3"/>
  <c r="L206" i="3"/>
  <c r="N207" i="3"/>
  <c r="L207" i="3"/>
  <c r="N208" i="3"/>
  <c r="L208" i="3"/>
  <c r="N209" i="3"/>
  <c r="L209" i="3"/>
  <c r="N210" i="3"/>
  <c r="L210" i="3"/>
  <c r="N211" i="3"/>
  <c r="L211" i="3"/>
  <c r="N212" i="3"/>
  <c r="L212" i="3"/>
  <c r="N213" i="3"/>
  <c r="L213" i="3"/>
  <c r="N214" i="3"/>
  <c r="L214" i="3"/>
  <c r="N215" i="3"/>
  <c r="L215" i="3"/>
  <c r="N216" i="3"/>
  <c r="L216" i="3"/>
  <c r="N217" i="3"/>
  <c r="L217" i="3"/>
  <c r="N218" i="3"/>
  <c r="L218" i="3"/>
  <c r="N219" i="3"/>
  <c r="L219" i="3"/>
  <c r="N220" i="3"/>
  <c r="L220" i="3"/>
  <c r="N221" i="3"/>
  <c r="L221" i="3"/>
  <c r="N222" i="3"/>
  <c r="L222" i="3"/>
  <c r="N223" i="3"/>
  <c r="L223" i="3"/>
  <c r="N224" i="3"/>
  <c r="L224" i="3"/>
  <c r="N225" i="3"/>
  <c r="L225" i="3"/>
  <c r="N226" i="3"/>
  <c r="L226" i="3"/>
  <c r="N227" i="3"/>
  <c r="L227" i="3"/>
  <c r="N228" i="3"/>
  <c r="L228" i="3"/>
  <c r="N229" i="3"/>
  <c r="L229" i="3"/>
  <c r="N230" i="3"/>
  <c r="L230" i="3"/>
  <c r="N231" i="3"/>
  <c r="L231" i="3"/>
  <c r="N232" i="3"/>
  <c r="L232" i="3"/>
  <c r="N233" i="3"/>
  <c r="L233" i="3"/>
  <c r="N234" i="3"/>
  <c r="L234" i="3"/>
  <c r="N235" i="3"/>
  <c r="L235" i="3"/>
  <c r="N236" i="3"/>
  <c r="L236" i="3"/>
  <c r="N237" i="3"/>
  <c r="L237" i="3"/>
  <c r="N238" i="3"/>
  <c r="L238" i="3"/>
  <c r="N239" i="3"/>
  <c r="L239" i="3"/>
  <c r="N240" i="3"/>
  <c r="L240" i="3"/>
  <c r="N241" i="3"/>
  <c r="L241" i="3"/>
  <c r="N242" i="3"/>
  <c r="L242" i="3"/>
  <c r="N243" i="3"/>
  <c r="L243" i="3"/>
  <c r="N244" i="3"/>
  <c r="L244" i="3"/>
  <c r="N245" i="3"/>
  <c r="L245" i="3"/>
  <c r="N246" i="3"/>
  <c r="L246" i="3"/>
  <c r="N247" i="3"/>
  <c r="L247" i="3"/>
  <c r="N248" i="3"/>
  <c r="L248" i="3"/>
  <c r="N249" i="3"/>
  <c r="L249" i="3"/>
  <c r="N250" i="3"/>
  <c r="L250" i="3"/>
  <c r="N251" i="3"/>
  <c r="L251" i="3"/>
  <c r="N252" i="3"/>
  <c r="L252" i="3"/>
  <c r="N253" i="3"/>
  <c r="L253" i="3"/>
  <c r="N254" i="3"/>
  <c r="L254" i="3"/>
  <c r="N255" i="3"/>
  <c r="L255" i="3"/>
  <c r="N256" i="3"/>
  <c r="L256" i="3"/>
  <c r="N257" i="3"/>
  <c r="L257" i="3"/>
  <c r="N258" i="3"/>
  <c r="L258" i="3"/>
  <c r="N259" i="3"/>
  <c r="L259" i="3"/>
  <c r="N260" i="3"/>
  <c r="L260" i="3"/>
  <c r="N261" i="3"/>
  <c r="L261" i="3"/>
  <c r="N262" i="3"/>
  <c r="L262" i="3"/>
  <c r="N263" i="3"/>
  <c r="L263" i="3"/>
  <c r="N264" i="3"/>
  <c r="L264" i="3"/>
  <c r="N265" i="3"/>
  <c r="L265" i="3"/>
  <c r="N266" i="3"/>
  <c r="L266" i="3"/>
  <c r="N267" i="3"/>
  <c r="L267" i="3"/>
  <c r="N268" i="3"/>
  <c r="L268" i="3"/>
  <c r="N269" i="3"/>
  <c r="L269" i="3"/>
  <c r="N270" i="3"/>
  <c r="L270" i="3"/>
  <c r="N271" i="3"/>
  <c r="L271" i="3"/>
  <c r="N272" i="3"/>
  <c r="L272" i="3"/>
  <c r="N273" i="3"/>
  <c r="L273" i="3"/>
  <c r="N274" i="3"/>
  <c r="L274" i="3"/>
  <c r="N275" i="3"/>
  <c r="L275" i="3"/>
  <c r="N276" i="3"/>
  <c r="L276" i="3"/>
  <c r="N277" i="3"/>
  <c r="L277" i="3"/>
  <c r="N278" i="3"/>
  <c r="L278" i="3"/>
  <c r="N279" i="3"/>
  <c r="L279" i="3"/>
  <c r="N280" i="3"/>
  <c r="L280" i="3"/>
  <c r="N281" i="3"/>
  <c r="L281" i="3"/>
  <c r="N282" i="3"/>
  <c r="L282" i="3"/>
  <c r="N283" i="3"/>
  <c r="L283" i="3"/>
  <c r="N284" i="3"/>
  <c r="L284" i="3"/>
  <c r="N285" i="3"/>
  <c r="L285" i="3"/>
  <c r="N286" i="3"/>
  <c r="L286" i="3"/>
  <c r="N287" i="3"/>
  <c r="L287" i="3"/>
  <c r="N288" i="3"/>
  <c r="L288" i="3"/>
  <c r="N289" i="3"/>
  <c r="L289" i="3"/>
  <c r="N290" i="3"/>
  <c r="L290" i="3"/>
  <c r="N291" i="3"/>
  <c r="L291" i="3"/>
  <c r="N292" i="3"/>
  <c r="L292" i="3"/>
  <c r="N293" i="3"/>
  <c r="L293" i="3"/>
  <c r="N294" i="3"/>
  <c r="L294" i="3"/>
  <c r="N295" i="3"/>
  <c r="L295" i="3"/>
  <c r="N296" i="3"/>
  <c r="L296" i="3"/>
  <c r="N297" i="3"/>
  <c r="L297" i="3"/>
  <c r="N298" i="3"/>
  <c r="L298" i="3"/>
  <c r="N299" i="3"/>
  <c r="L299" i="3"/>
  <c r="N300" i="3"/>
  <c r="L300" i="3"/>
  <c r="N301" i="3"/>
  <c r="L301" i="3"/>
  <c r="N302" i="3"/>
  <c r="L302" i="3"/>
  <c r="N303" i="3"/>
  <c r="L303" i="3"/>
  <c r="N304" i="3"/>
  <c r="L304" i="3"/>
  <c r="N305" i="3"/>
  <c r="L305" i="3"/>
  <c r="N306" i="3"/>
  <c r="L306" i="3"/>
  <c r="N307" i="3"/>
  <c r="L307" i="3"/>
  <c r="N308" i="3"/>
  <c r="L308" i="3"/>
  <c r="N309" i="3"/>
  <c r="L309" i="3"/>
  <c r="N310" i="3"/>
  <c r="L310" i="3"/>
  <c r="N311" i="3"/>
  <c r="L311" i="3"/>
  <c r="N312" i="3"/>
  <c r="L312" i="3"/>
  <c r="N313" i="3"/>
  <c r="L313" i="3"/>
  <c r="N314" i="3"/>
  <c r="L314" i="3"/>
  <c r="N2" i="1"/>
  <c r="L2" i="1"/>
  <c r="N3" i="1"/>
  <c r="L3" i="1"/>
  <c r="N4" i="1"/>
  <c r="L4" i="1"/>
  <c r="N5" i="1"/>
  <c r="L5" i="1"/>
  <c r="N6" i="1"/>
  <c r="L6" i="1"/>
  <c r="N7" i="1"/>
  <c r="L7" i="1"/>
  <c r="N8" i="1"/>
  <c r="L8" i="1"/>
  <c r="N9" i="1"/>
  <c r="L9" i="1"/>
  <c r="N10" i="1"/>
  <c r="L10" i="1"/>
  <c r="N11" i="1"/>
  <c r="L11" i="1"/>
  <c r="N12" i="1"/>
  <c r="L12" i="1"/>
  <c r="N13" i="1"/>
  <c r="L13" i="1"/>
  <c r="N14" i="1"/>
  <c r="L14" i="1"/>
  <c r="N15" i="1"/>
  <c r="L15" i="1"/>
  <c r="N16" i="1"/>
  <c r="L16" i="1"/>
  <c r="N17" i="1"/>
  <c r="L17" i="1"/>
  <c r="N18" i="1"/>
  <c r="L18" i="1"/>
  <c r="N19" i="1"/>
  <c r="L19" i="1"/>
  <c r="N20" i="1"/>
  <c r="L20" i="1"/>
  <c r="N21" i="1"/>
  <c r="L21" i="1"/>
  <c r="N22" i="1"/>
  <c r="L22" i="1"/>
  <c r="N23" i="1"/>
  <c r="L23" i="1"/>
  <c r="N24" i="1"/>
  <c r="L24" i="1"/>
  <c r="N25" i="1"/>
  <c r="L25" i="1"/>
  <c r="N26" i="1"/>
  <c r="L26" i="1"/>
  <c r="N27" i="1"/>
  <c r="L27" i="1"/>
  <c r="N28" i="1"/>
  <c r="L28" i="1"/>
  <c r="N29" i="1"/>
  <c r="L29" i="1"/>
  <c r="N30" i="1"/>
  <c r="L30" i="1"/>
  <c r="N31" i="1"/>
  <c r="L31" i="1"/>
  <c r="N32" i="1"/>
  <c r="L32" i="1"/>
  <c r="N33" i="1"/>
  <c r="L33" i="1"/>
  <c r="N34" i="1"/>
  <c r="L34" i="1"/>
  <c r="N35" i="1"/>
  <c r="L35" i="1"/>
  <c r="N36" i="1"/>
  <c r="L36" i="1"/>
  <c r="N37" i="1"/>
  <c r="L37" i="1"/>
  <c r="N38" i="1"/>
  <c r="L38" i="1"/>
  <c r="N39" i="1"/>
  <c r="L39" i="1"/>
  <c r="N40" i="1"/>
  <c r="L40" i="1"/>
  <c r="N41" i="1"/>
  <c r="L41" i="1"/>
  <c r="N42" i="1"/>
  <c r="L42" i="1"/>
  <c r="N43" i="1"/>
  <c r="L43" i="1"/>
  <c r="N44" i="1"/>
  <c r="L44" i="1"/>
  <c r="N45" i="1"/>
  <c r="L45" i="1"/>
  <c r="N46" i="1"/>
  <c r="L46" i="1"/>
  <c r="N47" i="1"/>
  <c r="L47" i="1"/>
  <c r="N48" i="1"/>
  <c r="L48" i="1"/>
  <c r="N49" i="1"/>
  <c r="L49" i="1"/>
  <c r="N50" i="1"/>
  <c r="L50" i="1"/>
  <c r="N51" i="1"/>
  <c r="L51" i="1"/>
  <c r="N52" i="1"/>
  <c r="L52" i="1"/>
  <c r="N53" i="1"/>
  <c r="L53" i="1"/>
  <c r="N54" i="1"/>
  <c r="L54" i="1"/>
  <c r="N55" i="1"/>
  <c r="L55" i="1"/>
  <c r="N56" i="1"/>
  <c r="L56" i="1"/>
  <c r="N57" i="1"/>
  <c r="L57" i="1"/>
  <c r="N58" i="1"/>
  <c r="L58" i="1"/>
  <c r="N59" i="1"/>
  <c r="L59" i="1"/>
  <c r="N60" i="1"/>
  <c r="L60" i="1"/>
  <c r="N61" i="1"/>
  <c r="L61" i="1"/>
  <c r="N62" i="1"/>
  <c r="L62" i="1"/>
  <c r="N63" i="1"/>
  <c r="L63" i="1"/>
  <c r="N64" i="1"/>
  <c r="L64" i="1"/>
  <c r="N65" i="1"/>
  <c r="L65" i="1"/>
  <c r="N66" i="1"/>
  <c r="L66" i="1"/>
  <c r="N67" i="1"/>
  <c r="L67" i="1"/>
  <c r="N68" i="1"/>
  <c r="L68" i="1"/>
  <c r="N69" i="1"/>
  <c r="L69" i="1"/>
  <c r="N70" i="1"/>
  <c r="L70" i="1"/>
  <c r="N71" i="1"/>
  <c r="L71" i="1"/>
  <c r="N72" i="1"/>
  <c r="L72" i="1"/>
  <c r="N73" i="1"/>
  <c r="L73" i="1"/>
  <c r="N74" i="1"/>
  <c r="L74" i="1"/>
  <c r="N75" i="1"/>
  <c r="L75" i="1"/>
  <c r="N76" i="1"/>
  <c r="L76" i="1"/>
  <c r="N77" i="1"/>
  <c r="L77" i="1"/>
  <c r="N78" i="1"/>
  <c r="L78" i="1"/>
  <c r="N79" i="1"/>
  <c r="L79" i="1"/>
  <c r="N80" i="1"/>
  <c r="L80" i="1"/>
  <c r="N81" i="1"/>
  <c r="L81" i="1"/>
  <c r="N82" i="1"/>
  <c r="L82" i="1"/>
  <c r="N83" i="1"/>
  <c r="L83" i="1"/>
  <c r="N84" i="1"/>
  <c r="L84" i="1"/>
  <c r="N85" i="1"/>
  <c r="L85" i="1"/>
  <c r="N86" i="1"/>
  <c r="L86" i="1"/>
  <c r="N87" i="1"/>
  <c r="L87" i="1"/>
  <c r="N88" i="1"/>
  <c r="L88" i="1"/>
  <c r="N89" i="1"/>
  <c r="L89" i="1"/>
  <c r="N90" i="1"/>
  <c r="L90" i="1"/>
  <c r="N91" i="1"/>
  <c r="L91" i="1"/>
  <c r="N92" i="1"/>
  <c r="L92" i="1"/>
  <c r="N93" i="1"/>
  <c r="L93" i="1"/>
  <c r="N94" i="1"/>
  <c r="L94" i="1"/>
  <c r="N95" i="1"/>
  <c r="L95" i="1"/>
  <c r="N96" i="1"/>
  <c r="L96" i="1"/>
  <c r="N97" i="1"/>
  <c r="L97" i="1"/>
  <c r="N98" i="1"/>
  <c r="L98" i="1"/>
  <c r="N99" i="1"/>
  <c r="L99" i="1"/>
  <c r="N100" i="1"/>
  <c r="L100" i="1"/>
  <c r="N101" i="1"/>
  <c r="L101" i="1"/>
  <c r="N102" i="1"/>
  <c r="L102" i="1"/>
  <c r="N103" i="1"/>
  <c r="L103" i="1"/>
  <c r="N104" i="1"/>
  <c r="L104" i="1"/>
  <c r="N105" i="1"/>
  <c r="L105" i="1"/>
  <c r="N106" i="1"/>
  <c r="L106" i="1"/>
  <c r="N107" i="1"/>
  <c r="L107" i="1"/>
  <c r="N108" i="1"/>
  <c r="L108" i="1"/>
  <c r="N109" i="1"/>
  <c r="L109" i="1"/>
  <c r="N110" i="1"/>
  <c r="L110" i="1"/>
  <c r="N111" i="1"/>
  <c r="L111" i="1"/>
  <c r="N112" i="1"/>
  <c r="L112" i="1"/>
  <c r="N113" i="1"/>
  <c r="L113" i="1"/>
  <c r="N114" i="1"/>
  <c r="L114" i="1"/>
  <c r="N115" i="1"/>
  <c r="L115" i="1"/>
  <c r="N116" i="1"/>
  <c r="L116" i="1"/>
  <c r="N117" i="1"/>
  <c r="L117" i="1"/>
  <c r="N118" i="1"/>
  <c r="L118" i="1"/>
  <c r="N119" i="1"/>
  <c r="L119" i="1"/>
  <c r="N120" i="1"/>
  <c r="L120" i="1"/>
  <c r="N121" i="1"/>
  <c r="L121" i="1"/>
  <c r="N122" i="1"/>
  <c r="L122" i="1"/>
  <c r="N123" i="1"/>
  <c r="L123" i="1"/>
  <c r="N124" i="1"/>
  <c r="L124" i="1"/>
  <c r="N125" i="1"/>
  <c r="L125" i="1"/>
  <c r="N126" i="1"/>
  <c r="L126" i="1"/>
  <c r="N127" i="1"/>
  <c r="L127" i="1"/>
  <c r="N128" i="1"/>
  <c r="L128" i="1"/>
  <c r="N129" i="1"/>
  <c r="L129" i="1"/>
  <c r="N130" i="1"/>
  <c r="L130" i="1"/>
  <c r="N131" i="1"/>
  <c r="L131" i="1"/>
  <c r="N132" i="1"/>
  <c r="L132" i="1"/>
  <c r="N133" i="1"/>
  <c r="L133" i="1"/>
  <c r="N134" i="1"/>
  <c r="L134" i="1"/>
  <c r="N135" i="1"/>
  <c r="L135" i="1"/>
  <c r="N136" i="1"/>
  <c r="L136" i="1"/>
  <c r="N137" i="1"/>
  <c r="L137" i="1"/>
  <c r="N138" i="1"/>
  <c r="L138" i="1"/>
  <c r="N139" i="1"/>
  <c r="L139" i="1"/>
  <c r="N140" i="1"/>
  <c r="L140" i="1"/>
  <c r="N141" i="1"/>
  <c r="L141" i="1"/>
  <c r="N142" i="1"/>
  <c r="L142" i="1"/>
  <c r="N143" i="1"/>
  <c r="L143" i="1"/>
  <c r="N144" i="1"/>
  <c r="L144" i="1"/>
  <c r="N145" i="1"/>
  <c r="L145" i="1"/>
  <c r="N146" i="1"/>
  <c r="L146" i="1"/>
  <c r="N147" i="1"/>
  <c r="L147" i="1"/>
  <c r="N148" i="1"/>
  <c r="L148" i="1"/>
  <c r="N149" i="1"/>
  <c r="L149" i="1"/>
  <c r="N150" i="1"/>
  <c r="L150" i="1"/>
  <c r="N151" i="1"/>
  <c r="L151" i="1"/>
  <c r="N152" i="1"/>
  <c r="L152" i="1"/>
  <c r="N153" i="1"/>
  <c r="L153" i="1"/>
  <c r="N154" i="1"/>
  <c r="L154" i="1"/>
  <c r="N155" i="1"/>
  <c r="L155" i="1"/>
  <c r="N156" i="1"/>
  <c r="L156" i="1"/>
  <c r="N157" i="1"/>
  <c r="L157" i="1"/>
  <c r="N158" i="1"/>
  <c r="L158" i="1"/>
  <c r="N159" i="1"/>
  <c r="L159" i="1"/>
  <c r="N160" i="1"/>
  <c r="L160" i="1"/>
  <c r="N161" i="1"/>
  <c r="L161" i="1"/>
  <c r="N162" i="1"/>
  <c r="L162" i="1"/>
  <c r="N163" i="1"/>
  <c r="L163" i="1"/>
  <c r="N164" i="1"/>
  <c r="L164" i="1"/>
  <c r="N165" i="1"/>
  <c r="L165" i="1"/>
  <c r="N166" i="1"/>
  <c r="L166" i="1"/>
  <c r="N167" i="1"/>
  <c r="L167" i="1"/>
  <c r="N168" i="1"/>
  <c r="L168" i="1"/>
  <c r="N169" i="1"/>
  <c r="L169" i="1"/>
  <c r="N170" i="1"/>
  <c r="L170" i="1"/>
  <c r="N171" i="1"/>
  <c r="L171" i="1"/>
  <c r="N172" i="1"/>
  <c r="L172" i="1"/>
  <c r="N173" i="1"/>
  <c r="L173" i="1"/>
  <c r="N174" i="1"/>
  <c r="L174" i="1"/>
  <c r="N175" i="1"/>
  <c r="L175" i="1"/>
  <c r="N176" i="1"/>
  <c r="L176" i="1"/>
  <c r="N177" i="1"/>
  <c r="L177" i="1"/>
  <c r="N178" i="1"/>
  <c r="L178" i="1"/>
  <c r="N179" i="1"/>
  <c r="L179" i="1"/>
  <c r="N180" i="1"/>
  <c r="L180" i="1"/>
  <c r="N181" i="1"/>
  <c r="L181" i="1"/>
  <c r="N182" i="1"/>
  <c r="L182" i="1"/>
  <c r="N183" i="1"/>
  <c r="L183" i="1"/>
  <c r="N184" i="1"/>
  <c r="L184" i="1"/>
  <c r="N185" i="1"/>
  <c r="L185" i="1"/>
  <c r="N186" i="1"/>
  <c r="L186" i="1"/>
  <c r="N187" i="1"/>
  <c r="L187" i="1"/>
  <c r="N188" i="1"/>
  <c r="L188" i="1"/>
  <c r="N189" i="1"/>
  <c r="L189" i="1"/>
  <c r="N190" i="1"/>
  <c r="L190" i="1"/>
  <c r="N191" i="1"/>
  <c r="L191" i="1"/>
  <c r="N192" i="1"/>
  <c r="L192" i="1"/>
  <c r="N193" i="1"/>
  <c r="L193" i="1"/>
  <c r="N194" i="1"/>
  <c r="L194" i="1"/>
  <c r="N195" i="1"/>
  <c r="L195" i="1"/>
  <c r="N196" i="1"/>
  <c r="L196" i="1"/>
  <c r="N197" i="1"/>
  <c r="L197" i="1"/>
  <c r="N198" i="1"/>
  <c r="L198" i="1"/>
  <c r="N199" i="1"/>
  <c r="L199" i="1"/>
  <c r="N200" i="1"/>
  <c r="L200" i="1"/>
  <c r="N201" i="1"/>
  <c r="L201" i="1"/>
  <c r="N202" i="1"/>
  <c r="L202" i="1"/>
  <c r="N203" i="1"/>
  <c r="L203" i="1"/>
  <c r="N204" i="1"/>
  <c r="L204" i="1"/>
  <c r="N205" i="1"/>
  <c r="L205" i="1"/>
  <c r="N206" i="1"/>
  <c r="L206" i="1"/>
  <c r="N207" i="1"/>
  <c r="L207" i="1"/>
  <c r="N208" i="1"/>
  <c r="L208" i="1"/>
  <c r="N209" i="1"/>
  <c r="L209" i="1"/>
  <c r="N210" i="1"/>
  <c r="L210" i="1"/>
  <c r="N211" i="1"/>
  <c r="L211" i="1"/>
  <c r="N212" i="1"/>
  <c r="L212" i="1"/>
  <c r="N213" i="1"/>
  <c r="L213" i="1"/>
  <c r="N214" i="1"/>
  <c r="L214" i="1"/>
  <c r="N215" i="1"/>
  <c r="L215" i="1"/>
  <c r="N216" i="1"/>
  <c r="L216" i="1"/>
  <c r="N217" i="1"/>
  <c r="L217" i="1"/>
  <c r="N218" i="1"/>
  <c r="L218" i="1"/>
  <c r="N219" i="1"/>
  <c r="L219" i="1"/>
  <c r="N220" i="1"/>
  <c r="L220" i="1"/>
  <c r="N221" i="1"/>
  <c r="L221" i="1"/>
  <c r="N222" i="1"/>
  <c r="L222" i="1"/>
  <c r="N223" i="1"/>
  <c r="L223" i="1"/>
  <c r="N224" i="1"/>
  <c r="L224" i="1"/>
  <c r="N225" i="1"/>
  <c r="L225" i="1"/>
  <c r="N226" i="1"/>
  <c r="L226" i="1"/>
  <c r="N227" i="1"/>
  <c r="L227" i="1"/>
  <c r="N228" i="1"/>
  <c r="L228" i="1"/>
  <c r="N229" i="1"/>
  <c r="L229" i="1"/>
  <c r="N230" i="1"/>
  <c r="L230" i="1"/>
  <c r="N231" i="1"/>
  <c r="L231" i="1"/>
  <c r="N232" i="1"/>
  <c r="L232" i="1"/>
  <c r="N233" i="1"/>
  <c r="L233" i="1"/>
  <c r="N234" i="1"/>
  <c r="L234" i="1"/>
  <c r="N235" i="1"/>
  <c r="L235" i="1"/>
  <c r="N236" i="1"/>
  <c r="L236" i="1"/>
  <c r="N237" i="1"/>
  <c r="L237" i="1"/>
  <c r="N238" i="1"/>
  <c r="L238" i="1"/>
  <c r="N239" i="1"/>
  <c r="L239" i="1"/>
  <c r="N240" i="1"/>
  <c r="L240" i="1"/>
  <c r="N241" i="1"/>
  <c r="L241" i="1"/>
  <c r="N242" i="1"/>
  <c r="L242" i="1"/>
  <c r="N243" i="1"/>
  <c r="L243" i="1"/>
  <c r="N244" i="1"/>
  <c r="L244" i="1"/>
  <c r="N245" i="1"/>
  <c r="L245" i="1"/>
  <c r="N246" i="1"/>
  <c r="L246" i="1"/>
  <c r="N247" i="1"/>
  <c r="L247" i="1"/>
  <c r="N248" i="1"/>
  <c r="L248" i="1"/>
  <c r="N249" i="1"/>
  <c r="L249" i="1"/>
  <c r="N250" i="1"/>
  <c r="L250" i="1"/>
  <c r="N251" i="1"/>
  <c r="L251" i="1"/>
  <c r="N252" i="1"/>
  <c r="L252" i="1"/>
  <c r="N253" i="1"/>
  <c r="L253" i="1"/>
  <c r="N254" i="1"/>
  <c r="L254" i="1"/>
  <c r="N255" i="1"/>
  <c r="L255" i="1"/>
  <c r="N256" i="1"/>
  <c r="L256" i="1"/>
  <c r="N257" i="1"/>
  <c r="L257" i="1"/>
  <c r="N258" i="1"/>
  <c r="L258" i="1"/>
  <c r="N259" i="1"/>
  <c r="L259" i="1"/>
  <c r="N260" i="1"/>
  <c r="L260" i="1"/>
  <c r="N261" i="1"/>
  <c r="L261" i="1"/>
  <c r="N262" i="1"/>
  <c r="L262" i="1"/>
  <c r="N263" i="1"/>
  <c r="L263" i="1"/>
  <c r="N264" i="1"/>
  <c r="L264" i="1"/>
  <c r="N265" i="1"/>
  <c r="L265" i="1"/>
  <c r="N266" i="1"/>
  <c r="L266" i="1"/>
  <c r="N267" i="1"/>
  <c r="L267" i="1"/>
  <c r="N268" i="1"/>
  <c r="L268" i="1"/>
  <c r="N269" i="1"/>
  <c r="L269" i="1"/>
  <c r="N270" i="1"/>
  <c r="L270" i="1"/>
  <c r="N271" i="1"/>
  <c r="L271" i="1"/>
  <c r="N272" i="1"/>
  <c r="L272" i="1"/>
  <c r="N273" i="1"/>
  <c r="L273" i="1"/>
  <c r="N274" i="1"/>
  <c r="L274" i="1"/>
  <c r="N275" i="1"/>
  <c r="L275" i="1"/>
  <c r="N276" i="1"/>
  <c r="L276" i="1"/>
  <c r="N277" i="1"/>
  <c r="L277" i="1"/>
  <c r="N278" i="1"/>
  <c r="L278" i="1"/>
  <c r="N279" i="1"/>
  <c r="L279" i="1"/>
  <c r="N280" i="1"/>
  <c r="L280" i="1"/>
  <c r="N281" i="1"/>
  <c r="L281" i="1"/>
  <c r="N282" i="1"/>
  <c r="L282" i="1"/>
  <c r="N283" i="1"/>
  <c r="L283" i="1"/>
  <c r="N284" i="1"/>
  <c r="L284" i="1"/>
  <c r="N285" i="1"/>
  <c r="L285" i="1"/>
  <c r="N286" i="1"/>
  <c r="L286" i="1"/>
  <c r="N287" i="1"/>
  <c r="L287" i="1"/>
  <c r="N288" i="1"/>
  <c r="L288" i="1"/>
  <c r="N289" i="1"/>
  <c r="L289" i="1"/>
  <c r="N290" i="1"/>
  <c r="L290" i="1"/>
  <c r="N291" i="1"/>
  <c r="L291" i="1"/>
  <c r="N292" i="1"/>
  <c r="L292" i="1"/>
  <c r="N293" i="1"/>
  <c r="L293" i="1"/>
  <c r="N294" i="1"/>
  <c r="L294" i="1"/>
  <c r="N295" i="1"/>
  <c r="L295" i="1"/>
  <c r="N296" i="1"/>
  <c r="L296" i="1"/>
  <c r="N297" i="1"/>
  <c r="L297" i="1"/>
  <c r="N298" i="1"/>
  <c r="L298" i="1"/>
  <c r="N299" i="1"/>
  <c r="L299" i="1"/>
  <c r="N300" i="1"/>
  <c r="L300" i="1"/>
  <c r="N301" i="1"/>
  <c r="L301" i="1"/>
  <c r="N302" i="1"/>
  <c r="L302" i="1"/>
  <c r="N303" i="1"/>
  <c r="L303" i="1"/>
  <c r="N304" i="1"/>
  <c r="L304" i="1"/>
  <c r="N305" i="1"/>
  <c r="L305" i="1"/>
  <c r="N306" i="1"/>
  <c r="L306" i="1"/>
  <c r="N307" i="1"/>
  <c r="L307" i="1"/>
  <c r="N308" i="1"/>
  <c r="L308" i="1"/>
  <c r="N309" i="1"/>
  <c r="L309" i="1"/>
  <c r="N310" i="1"/>
  <c r="L310" i="1"/>
  <c r="N311" i="1"/>
  <c r="L311" i="1"/>
</calcChain>
</file>

<file path=xl/sharedStrings.xml><?xml version="1.0" encoding="utf-8"?>
<sst xmlns="http://schemas.openxmlformats.org/spreadsheetml/2006/main" count="5531" uniqueCount="613">
  <si>
    <t>Kode Barang</t>
  </si>
  <si>
    <t>Nama Barang</t>
  </si>
  <si>
    <t>Kategori Barang</t>
  </si>
  <si>
    <t>Satuan</t>
  </si>
  <si>
    <t>Supplier</t>
  </si>
  <si>
    <t>Tanggal Masuk</t>
  </si>
  <si>
    <t>Tanggal Keluar</t>
  </si>
  <si>
    <t>Jumlah Masuk</t>
  </si>
  <si>
    <t>Jumlah Keluar</t>
  </si>
  <si>
    <t>Stok Akhir</t>
  </si>
  <si>
    <t>Harga Satuan</t>
  </si>
  <si>
    <t>Total Nilai Persediaan</t>
  </si>
  <si>
    <t>Lokasi Penyimpanan</t>
  </si>
  <si>
    <t>Status</t>
  </si>
  <si>
    <t>PIC</t>
  </si>
  <si>
    <t>APD-154</t>
  </si>
  <si>
    <t>Masker Medis 3-Ply</t>
  </si>
  <si>
    <t>APD</t>
  </si>
  <si>
    <t>Box</t>
  </si>
  <si>
    <t>CV Labware Indonesia</t>
  </si>
  <si>
    <t>2025-08-25</t>
  </si>
  <si>
    <t>2025-09-07</t>
  </si>
  <si>
    <t>Gudang B (Dingin)</t>
  </si>
  <si>
    <t>Dr. Ahmad Fauzi</t>
  </si>
  <si>
    <t>ALA-166</t>
  </si>
  <si>
    <t>Gelas Kimia 250mL</t>
  </si>
  <si>
    <t>Alat Gelas</t>
  </si>
  <si>
    <t>Pcs</t>
  </si>
  <si>
    <t>2025-05-08</t>
  </si>
  <si>
    <t>2025-05-15</t>
  </si>
  <si>
    <t>Gudang Utama A</t>
  </si>
  <si>
    <t>Dewi Lestari, Ph.D.</t>
  </si>
  <si>
    <t>ALA-145</t>
  </si>
  <si>
    <t>Tabung Reaksi</t>
  </si>
  <si>
    <t>PT Anugerah Analitika</t>
  </si>
  <si>
    <t>Rak Alat C</t>
  </si>
  <si>
    <t>Fajar Nugroho</t>
  </si>
  <si>
    <t>ALA-117</t>
  </si>
  <si>
    <t>Mini Centrifuge</t>
  </si>
  <si>
    <t>Alat Laboratorium</t>
  </si>
  <si>
    <t>Unit</t>
  </si>
  <si>
    <t>2025-11-11</t>
  </si>
  <si>
    <t>2025-11-14</t>
  </si>
  <si>
    <t>Lemari Flammable</t>
  </si>
  <si>
    <t>Rina Wijaya</t>
  </si>
  <si>
    <t>ALA-168</t>
  </si>
  <si>
    <t>Pipet Volume 10mL</t>
  </si>
  <si>
    <t>PT Medika Utama</t>
  </si>
  <si>
    <t>2025-10-09</t>
  </si>
  <si>
    <t>2025-10-20</t>
  </si>
  <si>
    <t>APD-164</t>
  </si>
  <si>
    <t>Jas Laboratorium</t>
  </si>
  <si>
    <t>PT Global Labora Mandiri</t>
  </si>
  <si>
    <t>2025-05-03</t>
  </si>
  <si>
    <t>ALA-184</t>
  </si>
  <si>
    <t>pH Meter</t>
  </si>
  <si>
    <t>CV Biotech Pratama</t>
  </si>
  <si>
    <t>2025-07-16</t>
  </si>
  <si>
    <t>2025-07-18</t>
  </si>
  <si>
    <t>Siti Aminah, S.Si.</t>
  </si>
  <si>
    <t>REA-121</t>
  </si>
  <si>
    <t>Buffer TAE 50X</t>
  </si>
  <si>
    <t>Reagen</t>
  </si>
  <si>
    <t>Kit</t>
  </si>
  <si>
    <t>PT Merck Chemical Indonesia</t>
  </si>
  <si>
    <t>2025-08-01</t>
  </si>
  <si>
    <t>ALA-179</t>
  </si>
  <si>
    <t>Vortex Mixer</t>
  </si>
  <si>
    <t>PT Chemlab Mandiri</t>
  </si>
  <si>
    <t>2025-05-17</t>
  </si>
  <si>
    <t>Budi Santoso, M.Si.</t>
  </si>
  <si>
    <t>BAH-199</t>
  </si>
  <si>
    <t>Kertas Saring Whatman</t>
  </si>
  <si>
    <t>Bahan Habis Pakai</t>
  </si>
  <si>
    <t>Pack</t>
  </si>
  <si>
    <t>2025-06-17</t>
  </si>
  <si>
    <t>Agus Kurniawan</t>
  </si>
  <si>
    <t>APD-142</t>
  </si>
  <si>
    <t>2025-05-22</t>
  </si>
  <si>
    <t>BAH-194</t>
  </si>
  <si>
    <t>Metanol P.A.</t>
  </si>
  <si>
    <t>Bahan Kimia</t>
  </si>
  <si>
    <t>Botol</t>
  </si>
  <si>
    <t>2025-09-05</t>
  </si>
  <si>
    <t>2025-09-13</t>
  </si>
  <si>
    <t>Loker APD Sentral</t>
  </si>
  <si>
    <t>Hendra Setiawan</t>
  </si>
  <si>
    <t>BAH-151</t>
  </si>
  <si>
    <t>Parafilm M Roll</t>
  </si>
  <si>
    <t>2025-10-27</t>
  </si>
  <si>
    <t>2025-11-08</t>
  </si>
  <si>
    <t>ALA-156</t>
  </si>
  <si>
    <t>2025-01-02</t>
  </si>
  <si>
    <t>2025-01-08</t>
  </si>
  <si>
    <t>REA-113</t>
  </si>
  <si>
    <t>PCR Master Mix 2X</t>
  </si>
  <si>
    <t>PT Advanced Nano Tech</t>
  </si>
  <si>
    <t>2025-03-13</t>
  </si>
  <si>
    <t>2025-03-22</t>
  </si>
  <si>
    <t>BAH-192</t>
  </si>
  <si>
    <t>Etanol 96%</t>
  </si>
  <si>
    <t>CV Sigma Nusantara</t>
  </si>
  <si>
    <t>2025-06-18</t>
  </si>
  <si>
    <t>2025-06-21</t>
  </si>
  <si>
    <t>BAH-141</t>
  </si>
  <si>
    <t>2025-11-26</t>
  </si>
  <si>
    <t>2025-11-27</t>
  </si>
  <si>
    <t>REA-155</t>
  </si>
  <si>
    <t>Gel Red Stain</t>
  </si>
  <si>
    <t>2025-01-24</t>
  </si>
  <si>
    <t>2025-02-07</t>
  </si>
  <si>
    <t>ALA-185</t>
  </si>
  <si>
    <t>2025-11-01</t>
  </si>
  <si>
    <t>2025-11-03</t>
  </si>
  <si>
    <t>Sarung Tangan Nitril</t>
  </si>
  <si>
    <t>2025-08-26</t>
  </si>
  <si>
    <t>BAH-185</t>
  </si>
  <si>
    <t>Asam Klorida (HCl)</t>
  </si>
  <si>
    <t>2025-11-02</t>
  </si>
  <si>
    <t>BAH-126</t>
  </si>
  <si>
    <t>Tip Pipet 200µL</t>
  </si>
  <si>
    <t>2025-11-30</t>
  </si>
  <si>
    <t>BAH-107</t>
  </si>
  <si>
    <t>Perak Nitrat (AgNO3)</t>
  </si>
  <si>
    <t>2025-08-22</t>
  </si>
  <si>
    <t>2025-09-03</t>
  </si>
  <si>
    <t>ALA-188</t>
  </si>
  <si>
    <t>Timbangan Analitik</t>
  </si>
  <si>
    <t>2025-05-27</t>
  </si>
  <si>
    <t>ALA-157</t>
  </si>
  <si>
    <t>2025-10-04</t>
  </si>
  <si>
    <t>2025-10-19</t>
  </si>
  <si>
    <t>ALA-153</t>
  </si>
  <si>
    <t>2025-06-06</t>
  </si>
  <si>
    <t>2025-06-08</t>
  </si>
  <si>
    <t>BAH-178</t>
  </si>
  <si>
    <t>2025-04-06</t>
  </si>
  <si>
    <t>REA-106</t>
  </si>
  <si>
    <t>Proteinase K</t>
  </si>
  <si>
    <t>2025-04-09</t>
  </si>
  <si>
    <t>2025-04-24</t>
  </si>
  <si>
    <t>APD-150</t>
  </si>
  <si>
    <t>2025-04-08</t>
  </si>
  <si>
    <t>2025-04-21</t>
  </si>
  <si>
    <t>Mikropipet 100-1000 µL</t>
  </si>
  <si>
    <t>2025-10-17</t>
  </si>
  <si>
    <t>2025-10-30</t>
  </si>
  <si>
    <t>ALA-177</t>
  </si>
  <si>
    <t>2025-10-02</t>
  </si>
  <si>
    <t>BAH-144</t>
  </si>
  <si>
    <t>Akuades Steril</t>
  </si>
  <si>
    <t>PT Alpha Sciencetama</t>
  </si>
  <si>
    <t>2025-08-30</t>
  </si>
  <si>
    <t>2025-09-09</t>
  </si>
  <si>
    <t>ALA-154</t>
  </si>
  <si>
    <t>2025-04-10</t>
  </si>
  <si>
    <t>2025-04-11</t>
  </si>
  <si>
    <t>ALA-172</t>
  </si>
  <si>
    <t>Labu Erlenmeyer 500mL</t>
  </si>
  <si>
    <t>2025-07-12</t>
  </si>
  <si>
    <t>2025-07-17</t>
  </si>
  <si>
    <t>ALA-174</t>
  </si>
  <si>
    <t>2025-07-04</t>
  </si>
  <si>
    <t>2025-07-11</t>
  </si>
  <si>
    <t>APD-109</t>
  </si>
  <si>
    <t>Kacamata Google Safety</t>
  </si>
  <si>
    <t>2025-03-25</t>
  </si>
  <si>
    <t>2025-04-07</t>
  </si>
  <si>
    <t>ALA-122</t>
  </si>
  <si>
    <t>2025-09-20</t>
  </si>
  <si>
    <t>2025-09-27</t>
  </si>
  <si>
    <t>2025-10-01</t>
  </si>
  <si>
    <t>2025-10-07</t>
  </si>
  <si>
    <t>APD-177</t>
  </si>
  <si>
    <t>2025-12-07</t>
  </si>
  <si>
    <t>2025-12-19</t>
  </si>
  <si>
    <t>ALA-165</t>
  </si>
  <si>
    <t>2025-07-24</t>
  </si>
  <si>
    <t>ALA-124</t>
  </si>
  <si>
    <t>2025-07-30</t>
  </si>
  <si>
    <t>2025-01-10</t>
  </si>
  <si>
    <t>ALA-131</t>
  </si>
  <si>
    <t>2025-01-16</t>
  </si>
  <si>
    <t>REA-187</t>
  </si>
  <si>
    <t>Kit Ekstraksi DNA</t>
  </si>
  <si>
    <t>2025-02-04</t>
  </si>
  <si>
    <t>2025-02-14</t>
  </si>
  <si>
    <t>BAH-170</t>
  </si>
  <si>
    <t>2025-10-24</t>
  </si>
  <si>
    <t>2025-10-25</t>
  </si>
  <si>
    <t>BAH-162</t>
  </si>
  <si>
    <t>2025-05-16</t>
  </si>
  <si>
    <t>BAH-119</t>
  </si>
  <si>
    <t>2025-06-07</t>
  </si>
  <si>
    <t>2025-06-09</t>
  </si>
  <si>
    <t>ALA-142</t>
  </si>
  <si>
    <t>2025-08-07</t>
  </si>
  <si>
    <t>2025-08-17</t>
  </si>
  <si>
    <t>REA-168</t>
  </si>
  <si>
    <t>2025-06-20</t>
  </si>
  <si>
    <t>REA-166</t>
  </si>
  <si>
    <t>BAH-103</t>
  </si>
  <si>
    <t>2025-12-03</t>
  </si>
  <si>
    <t>2025-12-06</t>
  </si>
  <si>
    <t>2025-09-08</t>
  </si>
  <si>
    <t>BAH-127</t>
  </si>
  <si>
    <t>Aluminium Foil</t>
  </si>
  <si>
    <t>2025-10-12</t>
  </si>
  <si>
    <t>2025-08-23</t>
  </si>
  <si>
    <t>2025-09-01</t>
  </si>
  <si>
    <t>REA-178</t>
  </si>
  <si>
    <t>2025-01-18</t>
  </si>
  <si>
    <t>2025-01-22</t>
  </si>
  <si>
    <t>BAH-172</t>
  </si>
  <si>
    <t>2025-07-07</t>
  </si>
  <si>
    <t>2025-07-19</t>
  </si>
  <si>
    <t>ALA-169</t>
  </si>
  <si>
    <t>Gelas Ukur 100mL</t>
  </si>
  <si>
    <t>2025-03-21</t>
  </si>
  <si>
    <t>APD-187</t>
  </si>
  <si>
    <t>2025-04-18</t>
  </si>
  <si>
    <t>BAH-131</t>
  </si>
  <si>
    <t>2025-05-13</t>
  </si>
  <si>
    <t>BAH-143</t>
  </si>
  <si>
    <t>2025-09-14</t>
  </si>
  <si>
    <t>2025-09-21</t>
  </si>
  <si>
    <t>BAH-158</t>
  </si>
  <si>
    <t>2025-08-08</t>
  </si>
  <si>
    <t>ALA-148</t>
  </si>
  <si>
    <t>2025-09-24</t>
  </si>
  <si>
    <t>REA-114</t>
  </si>
  <si>
    <t>2025-07-21</t>
  </si>
  <si>
    <t>APD-189</t>
  </si>
  <si>
    <t>2025-12-11</t>
  </si>
  <si>
    <t>BAH-159</t>
  </si>
  <si>
    <t>2025-08-18</t>
  </si>
  <si>
    <t>2025-08-27</t>
  </si>
  <si>
    <t>ALA-138</t>
  </si>
  <si>
    <t>2025-07-20</t>
  </si>
  <si>
    <t>APD-107</t>
  </si>
  <si>
    <t>2025-03-26</t>
  </si>
  <si>
    <t>BAH-105</t>
  </si>
  <si>
    <t>2025-01-09</t>
  </si>
  <si>
    <t>BAH-114</t>
  </si>
  <si>
    <t>2025-06-29</t>
  </si>
  <si>
    <t>2025-07-13</t>
  </si>
  <si>
    <t>BAH-176</t>
  </si>
  <si>
    <t>2025-02-24</t>
  </si>
  <si>
    <t>2025-03-02</t>
  </si>
  <si>
    <t>BAH-160</t>
  </si>
  <si>
    <t>ALA-193</t>
  </si>
  <si>
    <t>2025-03-29</t>
  </si>
  <si>
    <t>2025-04-05</t>
  </si>
  <si>
    <t>REA-131</t>
  </si>
  <si>
    <t>2025-01-28</t>
  </si>
  <si>
    <t>2025-02-05</t>
  </si>
  <si>
    <t>REA-189</t>
  </si>
  <si>
    <t>2025-03-28</t>
  </si>
  <si>
    <t>ALA-189</t>
  </si>
  <si>
    <t>2025-04-16</t>
  </si>
  <si>
    <t>BAH-196</t>
  </si>
  <si>
    <t>BAH-100</t>
  </si>
  <si>
    <t>2025-07-02</t>
  </si>
  <si>
    <t>APD-131</t>
  </si>
  <si>
    <t>2025-05-19</t>
  </si>
  <si>
    <t>2025-06-01</t>
  </si>
  <si>
    <t>ALA-147</t>
  </si>
  <si>
    <t>2025-11-23</t>
  </si>
  <si>
    <t>REA-182</t>
  </si>
  <si>
    <t>2025-11-13</t>
  </si>
  <si>
    <t>ALA-130</t>
  </si>
  <si>
    <t>2025-01-25</t>
  </si>
  <si>
    <t>APD-195</t>
  </si>
  <si>
    <t>2025-10-31</t>
  </si>
  <si>
    <t>2025-11-06</t>
  </si>
  <si>
    <t>REA-190</t>
  </si>
  <si>
    <t>2025-02-22</t>
  </si>
  <si>
    <t>BAH-121</t>
  </si>
  <si>
    <t>REA-197</t>
  </si>
  <si>
    <t>2025-03-23</t>
  </si>
  <si>
    <t>2025-04-03</t>
  </si>
  <si>
    <t>BAH-106</t>
  </si>
  <si>
    <t>APD-145</t>
  </si>
  <si>
    <t>2025-05-12</t>
  </si>
  <si>
    <t>ALA-182</t>
  </si>
  <si>
    <t>2025-10-05</t>
  </si>
  <si>
    <t>2025-10-14</t>
  </si>
  <si>
    <t>2025-08-28</t>
  </si>
  <si>
    <t>BAH-136</t>
  </si>
  <si>
    <t>2025-07-22</t>
  </si>
  <si>
    <t>BAH-129</t>
  </si>
  <si>
    <t>2025-05-21</t>
  </si>
  <si>
    <t>2025-05-23</t>
  </si>
  <si>
    <t>2025-09-15</t>
  </si>
  <si>
    <t>2025-09-25</t>
  </si>
  <si>
    <t>ALA-192</t>
  </si>
  <si>
    <t>2025-01-05</t>
  </si>
  <si>
    <t>2025-01-13</t>
  </si>
  <si>
    <t>REA-199</t>
  </si>
  <si>
    <t>2025-10-13</t>
  </si>
  <si>
    <t>2025-10-23</t>
  </si>
  <si>
    <t>REA-163</t>
  </si>
  <si>
    <t>BAH-161</t>
  </si>
  <si>
    <t>2025-10-26</t>
  </si>
  <si>
    <t>ALA-116</t>
  </si>
  <si>
    <t>2025-02-08</t>
  </si>
  <si>
    <t>BAH-189</t>
  </si>
  <si>
    <t>2025-11-12</t>
  </si>
  <si>
    <t>2025-02-15</t>
  </si>
  <si>
    <t>BAH-163</t>
  </si>
  <si>
    <t>2025-09-02</t>
  </si>
  <si>
    <t>REA-145</t>
  </si>
  <si>
    <t>2025-02-26</t>
  </si>
  <si>
    <t>2025-03-11</t>
  </si>
  <si>
    <t>ALA-105</t>
  </si>
  <si>
    <t>2025-02-09</t>
  </si>
  <si>
    <t>2025-02-16</t>
  </si>
  <si>
    <t>2025-05-11</t>
  </si>
  <si>
    <t>ALA-108</t>
  </si>
  <si>
    <t>APD-139</t>
  </si>
  <si>
    <t>2025-06-26</t>
  </si>
  <si>
    <t>ALA-140</t>
  </si>
  <si>
    <t>2025-09-22</t>
  </si>
  <si>
    <t>ALA-103</t>
  </si>
  <si>
    <t>BAH-184</t>
  </si>
  <si>
    <t>2025-08-21</t>
  </si>
  <si>
    <t>2025-02-19</t>
  </si>
  <si>
    <t>APD-186</t>
  </si>
  <si>
    <t>2025-08-12</t>
  </si>
  <si>
    <t>2025-08-19</t>
  </si>
  <si>
    <t>BAH-120</t>
  </si>
  <si>
    <t>2025-07-10</t>
  </si>
  <si>
    <t>REA-102</t>
  </si>
  <si>
    <t>2025-10-18</t>
  </si>
  <si>
    <t>REA-169</t>
  </si>
  <si>
    <t>2025-11-16</t>
  </si>
  <si>
    <t>2025-12-01</t>
  </si>
  <si>
    <t>BAH-109</t>
  </si>
  <si>
    <t>2025-04-30</t>
  </si>
  <si>
    <t>ALA-196</t>
  </si>
  <si>
    <t>2025-06-05</t>
  </si>
  <si>
    <t>2025-01-26</t>
  </si>
  <si>
    <t>2025-01-29</t>
  </si>
  <si>
    <t>APD-135</t>
  </si>
  <si>
    <t>2025-01-30</t>
  </si>
  <si>
    <t>BAH-198</t>
  </si>
  <si>
    <t>2025-06-12</t>
  </si>
  <si>
    <t>ALA-178</t>
  </si>
  <si>
    <t>2025-11-10</t>
  </si>
  <si>
    <t>REA-118</t>
  </si>
  <si>
    <t>2025-05-09</t>
  </si>
  <si>
    <t>2025-05-20</t>
  </si>
  <si>
    <t>REA-117</t>
  </si>
  <si>
    <t>BAH-153</t>
  </si>
  <si>
    <t>2025-10-03</t>
  </si>
  <si>
    <t>2025-05-04</t>
  </si>
  <si>
    <t>2025-05-06</t>
  </si>
  <si>
    <t>REA-159</t>
  </si>
  <si>
    <t>2025-11-25</t>
  </si>
  <si>
    <t>REA-122</t>
  </si>
  <si>
    <t>2025-05-01</t>
  </si>
  <si>
    <t>2025-05-14</t>
  </si>
  <si>
    <t>2025-08-14</t>
  </si>
  <si>
    <t>2025-08-24</t>
  </si>
  <si>
    <t>ALA-125</t>
  </si>
  <si>
    <t>2025-09-29</t>
  </si>
  <si>
    <t>2025-10-08</t>
  </si>
  <si>
    <t>REA-100</t>
  </si>
  <si>
    <t>2025-11-09</t>
  </si>
  <si>
    <t>ALA-198</t>
  </si>
  <si>
    <t>2025-02-03</t>
  </si>
  <si>
    <t>2025-02-18</t>
  </si>
  <si>
    <t>REA-132</t>
  </si>
  <si>
    <t>2025-02-02</t>
  </si>
  <si>
    <t>BAH-190</t>
  </si>
  <si>
    <t>2025-05-30</t>
  </si>
  <si>
    <t>2025-05-31</t>
  </si>
  <si>
    <t>2025-02-23</t>
  </si>
  <si>
    <t>2025-03-05</t>
  </si>
  <si>
    <t>BAH-193</t>
  </si>
  <si>
    <t>2025-01-21</t>
  </si>
  <si>
    <t>2025-02-01</t>
  </si>
  <si>
    <t>ALA-194</t>
  </si>
  <si>
    <t>2025-08-03</t>
  </si>
  <si>
    <t>APD-169</t>
  </si>
  <si>
    <t>BAH-122</t>
  </si>
  <si>
    <t>REA-142</t>
  </si>
  <si>
    <t>2025-03-04</t>
  </si>
  <si>
    <t>2025-03-16</t>
  </si>
  <si>
    <t>REA-104</t>
  </si>
  <si>
    <t>2025-07-06</t>
  </si>
  <si>
    <t>2025-05-18</t>
  </si>
  <si>
    <t>APD-162</t>
  </si>
  <si>
    <t>2025-02-25</t>
  </si>
  <si>
    <t>BAH-191</t>
  </si>
  <si>
    <t>2025-01-06</t>
  </si>
  <si>
    <t>2025-01-07</t>
  </si>
  <si>
    <t>2025-09-23</t>
  </si>
  <si>
    <t>ALA-100</t>
  </si>
  <si>
    <t>2025-10-28</t>
  </si>
  <si>
    <t>APD-173</t>
  </si>
  <si>
    <t>2025-09-12</t>
  </si>
  <si>
    <t>APD-130</t>
  </si>
  <si>
    <t>2025-03-20</t>
  </si>
  <si>
    <t>2025-11-15</t>
  </si>
  <si>
    <t>2025-11-17</t>
  </si>
  <si>
    <t>BAH-142</t>
  </si>
  <si>
    <t>2025-04-15</t>
  </si>
  <si>
    <t>2025-04-25</t>
  </si>
  <si>
    <t>APD-159</t>
  </si>
  <si>
    <t>ALA-170</t>
  </si>
  <si>
    <t>2025-03-18</t>
  </si>
  <si>
    <t>ALA-155</t>
  </si>
  <si>
    <t>2025-09-17</t>
  </si>
  <si>
    <t>2025-07-28</t>
  </si>
  <si>
    <t>REA-108</t>
  </si>
  <si>
    <t>2025-08-10</t>
  </si>
  <si>
    <t>BAH-186</t>
  </si>
  <si>
    <t>2025-03-31</t>
  </si>
  <si>
    <t>REA-103</t>
  </si>
  <si>
    <t>APD-156</t>
  </si>
  <si>
    <t>ALA-139</t>
  </si>
  <si>
    <t>2025-08-11</t>
  </si>
  <si>
    <t>REA-144</t>
  </si>
  <si>
    <t>2025-10-15</t>
  </si>
  <si>
    <t>2025-05-24</t>
  </si>
  <si>
    <t>BAH-138</t>
  </si>
  <si>
    <t>2025-06-02</t>
  </si>
  <si>
    <t>2025-06-13</t>
  </si>
  <si>
    <t>2025-07-03</t>
  </si>
  <si>
    <t>BAH-111</t>
  </si>
  <si>
    <t>REA-112</t>
  </si>
  <si>
    <t>2025-10-06</t>
  </si>
  <si>
    <t>BAH-115</t>
  </si>
  <si>
    <t>ALA-149</t>
  </si>
  <si>
    <t>ALA-141</t>
  </si>
  <si>
    <t>2025-03-08</t>
  </si>
  <si>
    <t>APD-101</t>
  </si>
  <si>
    <t>APD-190</t>
  </si>
  <si>
    <t>2025-01-31</t>
  </si>
  <si>
    <t>2025-02-10</t>
  </si>
  <si>
    <t>BAH-174</t>
  </si>
  <si>
    <t>BAH-157</t>
  </si>
  <si>
    <t>BAH-166</t>
  </si>
  <si>
    <t>2025-08-15</t>
  </si>
  <si>
    <t>REA-179</t>
  </si>
  <si>
    <t>ALA-101</t>
  </si>
  <si>
    <t>2025-06-19</t>
  </si>
  <si>
    <t>2025-06-25</t>
  </si>
  <si>
    <t>2025-05-29</t>
  </si>
  <si>
    <t>APD-166</t>
  </si>
  <si>
    <t>2025-11-07</t>
  </si>
  <si>
    <t>BAH-104</t>
  </si>
  <si>
    <t>2025-04-23</t>
  </si>
  <si>
    <t>APD-196</t>
  </si>
  <si>
    <t>2025-11-20</t>
  </si>
  <si>
    <t>BAH-152</t>
  </si>
  <si>
    <t>2025-04-19</t>
  </si>
  <si>
    <t>ALA-161</t>
  </si>
  <si>
    <t>APD-191</t>
  </si>
  <si>
    <t>BAH-146</t>
  </si>
  <si>
    <t>ALA-199</t>
  </si>
  <si>
    <t>APD-123</t>
  </si>
  <si>
    <t>BAH-112</t>
  </si>
  <si>
    <t>BAH-102</t>
  </si>
  <si>
    <t>2025-11-05</t>
  </si>
  <si>
    <t>APD-174</t>
  </si>
  <si>
    <t>2025-01-27</t>
  </si>
  <si>
    <t>BAH-150</t>
  </si>
  <si>
    <t>2025-02-27</t>
  </si>
  <si>
    <t>BAH-183</t>
  </si>
  <si>
    <t>2025-04-17</t>
  </si>
  <si>
    <t>ALA-132</t>
  </si>
  <si>
    <t>2025-07-05</t>
  </si>
  <si>
    <t>REA-174</t>
  </si>
  <si>
    <t>2025-09-11</t>
  </si>
  <si>
    <t>APD-170</t>
  </si>
  <si>
    <t>2025-03-17</t>
  </si>
  <si>
    <t>REA-120</t>
  </si>
  <si>
    <t>2025-09-16</t>
  </si>
  <si>
    <t>REA-196</t>
  </si>
  <si>
    <t>ALA-133</t>
  </si>
  <si>
    <t>APD-153</t>
  </si>
  <si>
    <t>2025-02-17</t>
  </si>
  <si>
    <t>REA-125</t>
  </si>
  <si>
    <t>2025-02-11</t>
  </si>
  <si>
    <t>ALA-113</t>
  </si>
  <si>
    <t>2025-03-03</t>
  </si>
  <si>
    <t>2025-08-02</t>
  </si>
  <si>
    <t>ALA-146</t>
  </si>
  <si>
    <t>APD-148</t>
  </si>
  <si>
    <t>2025-08-05</t>
  </si>
  <si>
    <t>BAH-124</t>
  </si>
  <si>
    <t>BAH-197</t>
  </si>
  <si>
    <t>2025-10-21</t>
  </si>
  <si>
    <t>ALA-150</t>
  </si>
  <si>
    <t>BAH-117</t>
  </si>
  <si>
    <t>REA-153</t>
  </si>
  <si>
    <t>APD-199</t>
  </si>
  <si>
    <t>2025-01-11</t>
  </si>
  <si>
    <t>REA-158</t>
  </si>
  <si>
    <t>ALA-121</t>
  </si>
  <si>
    <t>2025-06-27</t>
  </si>
  <si>
    <t>BAH-177</t>
  </si>
  <si>
    <t>APD-188</t>
  </si>
  <si>
    <t>REA-138</t>
  </si>
  <si>
    <t>2025-07-09</t>
  </si>
  <si>
    <t>ALA-134</t>
  </si>
  <si>
    <t>2025-08-20</t>
  </si>
  <si>
    <t>2025-09-04</t>
  </si>
  <si>
    <t>2025-11-19</t>
  </si>
  <si>
    <t>2025-03-06</t>
  </si>
  <si>
    <t>BAH-108</t>
  </si>
  <si>
    <t>2025-08-06</t>
  </si>
  <si>
    <t>2025-08-16</t>
  </si>
  <si>
    <t>ALA-151</t>
  </si>
  <si>
    <t>2025-04-28</t>
  </si>
  <si>
    <t>2025-12-10</t>
  </si>
  <si>
    <t>2025-01-20</t>
  </si>
  <si>
    <t>ALA-120</t>
  </si>
  <si>
    <t>2025-03-07</t>
  </si>
  <si>
    <t>APD-143</t>
  </si>
  <si>
    <t>2025-12-08</t>
  </si>
  <si>
    <t>BAH-188</t>
  </si>
  <si>
    <t>APD-161</t>
  </si>
  <si>
    <t>2025-08-29</t>
  </si>
  <si>
    <t>2025-05-25</t>
  </si>
  <si>
    <t>2025-07-25</t>
  </si>
  <si>
    <t>BAH-125</t>
  </si>
  <si>
    <t>2025-10-22</t>
  </si>
  <si>
    <t>BAH-149</t>
  </si>
  <si>
    <t>2025-05-10</t>
  </si>
  <si>
    <t>BAH-101</t>
  </si>
  <si>
    <t>ALA-126</t>
  </si>
  <si>
    <t>2025-05-05</t>
  </si>
  <si>
    <t>BAH-156</t>
  </si>
  <si>
    <t>ALA-152</t>
  </si>
  <si>
    <t>2025-06-04</t>
  </si>
  <si>
    <t>BAH-110</t>
  </si>
  <si>
    <t>2025-12-05</t>
  </si>
  <si>
    <t>ALA-191</t>
  </si>
  <si>
    <t>2025-08-09</t>
  </si>
  <si>
    <t>BAH-181</t>
  </si>
  <si>
    <t>2025-03-14</t>
  </si>
  <si>
    <t>2025-09-18</t>
  </si>
  <si>
    <t>ALA-143</t>
  </si>
  <si>
    <t>APD-124</t>
  </si>
  <si>
    <t>APD-181</t>
  </si>
  <si>
    <t>REA-109</t>
  </si>
  <si>
    <t>2025-05-02</t>
  </si>
  <si>
    <t>APD-178</t>
  </si>
  <si>
    <t>2025-01-15</t>
  </si>
  <si>
    <t>2025-01-17</t>
  </si>
  <si>
    <t>APD-185</t>
  </si>
  <si>
    <t>2025-02-20</t>
  </si>
  <si>
    <t>2025-02-28</t>
  </si>
  <si>
    <t>REA-152</t>
  </si>
  <si>
    <t>2025-02-21</t>
  </si>
  <si>
    <t>REA-172</t>
  </si>
  <si>
    <t>2025-11-18</t>
  </si>
  <si>
    <t>2025-09-19</t>
  </si>
  <si>
    <t>BAH-123</t>
  </si>
  <si>
    <t>2025-08-13</t>
  </si>
  <si>
    <t>BAH-128</t>
  </si>
  <si>
    <t>2025-05-28</t>
  </si>
  <si>
    <t>2025-06-11</t>
  </si>
  <si>
    <t>ALA-180</t>
  </si>
  <si>
    <t>ALA-158</t>
  </si>
  <si>
    <t>2025-10-11</t>
  </si>
  <si>
    <t>APD-136</t>
  </si>
  <si>
    <t>APD-152</t>
  </si>
  <si>
    <t>2025-10-10</t>
  </si>
  <si>
    <t>ALA-163</t>
  </si>
  <si>
    <t>LAPORAN INVENTARIS LABORATORIUM KLINIK PAJAJARAN BARU</t>
  </si>
  <si>
    <t>Row Labels</t>
  </si>
  <si>
    <t>Grand Total</t>
  </si>
  <si>
    <t>Sum of Total Nilai Persediaan</t>
  </si>
  <si>
    <t>(All)</t>
  </si>
  <si>
    <t>Habis</t>
  </si>
  <si>
    <t>Menipis</t>
  </si>
  <si>
    <t>Tersedia</t>
  </si>
  <si>
    <t>Count of Kode Barang</t>
  </si>
  <si>
    <t>Status Barang</t>
  </si>
  <si>
    <t>Sum of Jumlah Masuk</t>
  </si>
  <si>
    <t>Sum of Jumlah Keluar</t>
  </si>
  <si>
    <t>Nilai Persediaan Per Supplier</t>
  </si>
  <si>
    <t>Status Inventaris</t>
  </si>
  <si>
    <t>Barang Masuk dan Keluar</t>
  </si>
  <si>
    <t>Search Inventory</t>
  </si>
  <si>
    <t>Kode Barang:</t>
  </si>
  <si>
    <t>Hasil</t>
  </si>
  <si>
    <t>Informasi Barang</t>
  </si>
  <si>
    <t>A</t>
  </si>
  <si>
    <t>B</t>
  </si>
  <si>
    <t>C</t>
  </si>
  <si>
    <t>D</t>
  </si>
  <si>
    <t>E</t>
  </si>
  <si>
    <t>F</t>
  </si>
  <si>
    <t>G</t>
  </si>
  <si>
    <t>H</t>
  </si>
  <si>
    <t>I</t>
  </si>
  <si>
    <t>J</t>
  </si>
  <si>
    <t>K</t>
  </si>
  <si>
    <t>L</t>
  </si>
  <si>
    <t>M</t>
  </si>
  <si>
    <t>N</t>
  </si>
  <si>
    <t>O</t>
  </si>
  <si>
    <t>DASHBOARD INVENTARIS LABORATORIUM</t>
  </si>
  <si>
    <t>Jumlah Supplier</t>
  </si>
  <si>
    <t>Jumlah Barang Menipis</t>
  </si>
  <si>
    <t>Total Barang Masuk</t>
  </si>
  <si>
    <t>Top 5 Barang berdasarkan Nilai Persediaan</t>
  </si>
  <si>
    <t>Total Barag Keluar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</si>
</sst>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6" formatCode="_-* #,##0_-;\-* #,##0_-;_-* &quot;-&quot;??_-;_-@_-"/>
  </numFmts>
  <fonts count="8" x14ac:knownFonts="1">
    <font>
      <sz val="11"/>
      <color theme="1"/>
      <name val="Calibri"/>
      <family val="2"/>
      <scheme val="minor"/>
    </font>
    <font>
      <b/>
      <sz val="11"/>
      <color rgb="FFFFFFFF"/>
      <name val="Calibri"/>
    </font>
    <font>
      <sz val="11"/>
      <color rgb="FF000000"/>
      <name val="Calibri"/>
    </font>
    <font>
      <sz val="11"/>
      <color theme="1"/>
      <name val="Calibri"/>
      <family val="2"/>
      <scheme val="minor"/>
    </font>
    <font>
      <b/>
      <sz val="11"/>
      <color theme="1"/>
      <name val="Calibri"/>
      <family val="2"/>
      <scheme val="minor"/>
    </font>
    <font>
      <b/>
      <sz val="11"/>
      <color rgb="FFFFFFFF"/>
      <name val="Calibri"/>
      <family val="2"/>
    </font>
    <font>
      <sz val="12"/>
      <color theme="1"/>
      <name val="Calibri"/>
      <family val="2"/>
      <scheme val="minor"/>
    </font>
    <font>
      <b/>
      <sz val="18"/>
      <color theme="1"/>
      <name val="Calibri"/>
      <family val="2"/>
      <scheme val="minor"/>
    </font>
  </fonts>
  <fills count="7">
    <fill>
      <patternFill patternType="none"/>
    </fill>
    <fill>
      <patternFill patternType="gray125"/>
    </fill>
    <fill>
      <patternFill patternType="solid">
        <fgColor rgb="FF365F91"/>
        <bgColor rgb="FF365F91"/>
      </patternFill>
    </fill>
    <fill>
      <patternFill patternType="solid">
        <fgColor rgb="FFF2F5F8"/>
        <bgColor rgb="FFF2F5F8"/>
      </patternFill>
    </fill>
    <fill>
      <patternFill patternType="solid">
        <fgColor rgb="FFFFFFFF"/>
        <bgColor rgb="FFFFFFFF"/>
      </patternFill>
    </fill>
    <fill>
      <patternFill patternType="solid">
        <fgColor theme="4" tint="0.39997558519241921"/>
        <bgColor indexed="64"/>
      </patternFill>
    </fill>
    <fill>
      <patternFill patternType="solid">
        <fgColor theme="6" tint="0.39997558519241921"/>
        <bgColor indexed="64"/>
      </patternFill>
    </fill>
  </fills>
  <borders count="11">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s>
  <cellStyleXfs count="2">
    <xf numFmtId="0" fontId="0" fillId="0" borderId="0"/>
    <xf numFmtId="43" fontId="3" fillId="0" borderId="0" applyFont="0" applyFill="0" applyBorder="0" applyAlignment="0" applyProtection="0"/>
  </cellStyleXfs>
  <cellXfs count="30">
    <xf numFmtId="0" fontId="0" fillId="0" borderId="0" xfId="0"/>
    <xf numFmtId="0" fontId="1" fillId="2" borderId="0" xfId="0" applyFont="1" applyFill="1" applyAlignment="1">
      <alignment horizontal="center" vertical="center"/>
    </xf>
    <xf numFmtId="0" fontId="2" fillId="3" borderId="1" xfId="0" applyFont="1" applyFill="1" applyBorder="1"/>
    <xf numFmtId="0" fontId="2" fillId="3" borderId="1" xfId="0" applyFont="1" applyFill="1" applyBorder="1" applyAlignment="1">
      <alignment horizontal="center"/>
    </xf>
    <xf numFmtId="3" fontId="2" fillId="3" borderId="1" xfId="0" applyNumberFormat="1" applyFont="1" applyFill="1" applyBorder="1" applyAlignment="1">
      <alignment horizontal="right"/>
    </xf>
    <xf numFmtId="0" fontId="2" fillId="4" borderId="1" xfId="0" applyFont="1" applyFill="1" applyBorder="1"/>
    <xf numFmtId="0" fontId="2" fillId="4" borderId="1" xfId="0" applyFont="1" applyFill="1" applyBorder="1" applyAlignment="1">
      <alignment horizontal="center"/>
    </xf>
    <xf numFmtId="3" fontId="2" fillId="4" borderId="1" xfId="0" applyNumberFormat="1" applyFont="1" applyFill="1" applyBorder="1" applyAlignment="1">
      <alignment horizontal="right"/>
    </xf>
    <xf numFmtId="0" fontId="2" fillId="4" borderId="2" xfId="0" applyFont="1" applyFill="1" applyBorder="1"/>
    <xf numFmtId="0" fontId="2" fillId="4" borderId="2" xfId="0" applyFont="1" applyFill="1" applyBorder="1" applyAlignment="1">
      <alignment horizontal="center"/>
    </xf>
    <xf numFmtId="3" fontId="2" fillId="4" borderId="2" xfId="0" applyNumberFormat="1" applyFont="1" applyFill="1" applyBorder="1" applyAlignment="1">
      <alignment horizontal="right"/>
    </xf>
    <xf numFmtId="0" fontId="4" fillId="0" borderId="0" xfId="0" applyFont="1" applyAlignment="1">
      <alignment horizontal="center"/>
    </xf>
    <xf numFmtId="0" fontId="0" fillId="0" borderId="3" xfId="0" pivotButton="1" applyBorder="1"/>
    <xf numFmtId="0" fontId="0" fillId="0" borderId="3" xfId="0" applyBorder="1"/>
    <xf numFmtId="3" fontId="0" fillId="0" borderId="3" xfId="0" applyNumberFormat="1" applyBorder="1"/>
    <xf numFmtId="0" fontId="0" fillId="0" borderId="3" xfId="0" applyBorder="1" applyAlignment="1">
      <alignment horizontal="left"/>
    </xf>
    <xf numFmtId="0" fontId="0" fillId="0" borderId="3" xfId="0" applyNumberFormat="1" applyBorder="1"/>
    <xf numFmtId="0" fontId="5" fillId="2" borderId="0" xfId="0" applyFont="1" applyFill="1" applyAlignment="1">
      <alignment horizontal="center" vertical="center"/>
    </xf>
    <xf numFmtId="0" fontId="4" fillId="5" borderId="3" xfId="0" applyFont="1" applyFill="1" applyBorder="1"/>
    <xf numFmtId="0" fontId="0" fillId="6" borderId="3" xfId="0" applyFill="1" applyBorder="1"/>
    <xf numFmtId="0" fontId="0" fillId="0" borderId="0" xfId="0" applyAlignment="1">
      <alignment wrapText="1"/>
    </xf>
    <xf numFmtId="0" fontId="7" fillId="0" borderId="0" xfId="0" applyFont="1" applyAlignment="1">
      <alignment horizontal="center"/>
    </xf>
    <xf numFmtId="43" fontId="0" fillId="0" borderId="0" xfId="1" applyFont="1"/>
    <xf numFmtId="166" fontId="6" fillId="0" borderId="7" xfId="1" applyNumberFormat="1" applyFont="1" applyBorder="1" applyAlignment="1">
      <alignment horizontal="center" vertical="center"/>
    </xf>
    <xf numFmtId="0" fontId="6" fillId="0" borderId="8" xfId="0" applyFont="1" applyBorder="1" applyAlignment="1">
      <alignment horizontal="center"/>
    </xf>
    <xf numFmtId="166" fontId="6" fillId="0" borderId="9" xfId="1" applyNumberFormat="1" applyFont="1" applyBorder="1" applyAlignment="1">
      <alignment horizontal="center"/>
    </xf>
    <xf numFmtId="166" fontId="6" fillId="0" borderId="10" xfId="1" applyNumberFormat="1" applyFont="1" applyBorder="1" applyAlignment="1">
      <alignment horizontal="center"/>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cellXfs>
  <cellStyles count="2">
    <cellStyle name="Comma" xfId="1" builtinId="3"/>
    <cellStyle name="Normal" xfId="0" builtinId="0"/>
  </cellStyles>
  <dxfs count="269">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Calibri"/>
        <family val="2"/>
        <scheme val="minor"/>
      </font>
      <alignment horizontal="center" vertical="bottom" textRotation="0" wrapText="0" indent="0" justifyLastLine="0" shrinkToFit="0" readingOrder="0"/>
    </dxf>
    <dxf>
      <font>
        <strike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2"/>
        <color theme="1"/>
        <name val="Calibri"/>
        <family val="2"/>
        <scheme val="minor"/>
      </font>
      <numFmt numFmtId="166" formatCode="_-* #,##0_-;\-* #,##0_-;_-* &quot;-&quot;??_-;_-@_-"/>
      <alignment horizontal="center" vertical="bottom" textRotation="0" wrapText="0" indent="0" justifyLastLine="0" shrinkToFit="0" readingOrder="0"/>
      <border diagonalUp="0" diagonalDown="0" outline="0">
        <left/>
        <right/>
        <top style="thin">
          <color indexed="64"/>
        </top>
        <bottom/>
      </border>
    </dxf>
    <dxf>
      <font>
        <strike val="0"/>
        <outline val="0"/>
        <shadow val="0"/>
        <u val="none"/>
        <vertAlign val="baseline"/>
        <sz val="12"/>
        <color theme="1"/>
        <name val="Calibri"/>
        <family val="2"/>
        <scheme val="minor"/>
      </font>
      <numFmt numFmtId="166" formatCode="_-* #,##0_-;\-* #,##0_-;_-* &quot;-&quot;??_-;_-@_-"/>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2"/>
        <color theme="1"/>
        <name val="Calibri"/>
        <family val="2"/>
        <scheme val="minor"/>
      </font>
      <numFmt numFmtId="166" formatCode="_-* #,##0_-;\-* #,##0_-;_-* &quot;-&quot;??_-;_-@_-"/>
      <alignment horizontal="center" vertical="center" textRotation="0" wrapText="0" indent="0" justifyLastLine="0" shrinkToFit="0" readingOrder="0"/>
      <border diagonalUp="0" diagonalDown="0" outline="0">
        <left/>
        <right style="thin">
          <color indexed="64"/>
        </right>
        <top style="thin">
          <color indexed="64"/>
        </top>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rgb="FFFFFFFF"/>
        <name val="Calibri"/>
        <scheme val="none"/>
      </font>
      <fill>
        <patternFill patternType="solid">
          <fgColor rgb="FF365F91"/>
          <bgColor rgb="FF365F91"/>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scheme val="none"/>
      </font>
      <fill>
        <patternFill patternType="solid">
          <fgColor rgb="FFFFFFFF"/>
          <bgColor rgb="FFFFFFFF"/>
        </patternFill>
      </fil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1"/>
        <color rgb="FF000000"/>
        <name val="Calibri"/>
        <scheme val="none"/>
      </font>
      <fill>
        <patternFill patternType="solid">
          <fgColor rgb="FFFFFFFF"/>
          <bgColor rgb="FFFFFFFF"/>
        </patternFill>
      </fill>
      <alignment horizontal="center" vertical="bottom"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1"/>
        <color rgb="FF000000"/>
        <name val="Calibri"/>
        <scheme val="none"/>
      </font>
      <fill>
        <patternFill patternType="solid">
          <fgColor rgb="FFFFFFFF"/>
          <bgColor rgb="FFFFFFFF"/>
        </patternFill>
      </fil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1"/>
        <color rgb="FF000000"/>
        <name val="Calibri"/>
        <scheme val="none"/>
      </font>
      <numFmt numFmtId="3" formatCode="#,##0"/>
      <fill>
        <patternFill patternType="solid">
          <fgColor rgb="FFFFFFFF"/>
          <bgColor rgb="FFFFFFFF"/>
        </patternFill>
      </fill>
      <alignment horizontal="right" vertical="bottom"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1"/>
        <color rgb="FF000000"/>
        <name val="Calibri"/>
        <scheme val="none"/>
      </font>
      <numFmt numFmtId="3" formatCode="#,##0"/>
      <fill>
        <patternFill patternType="solid">
          <fgColor rgb="FFFFFFFF"/>
          <bgColor rgb="FFFFFFFF"/>
        </patternFill>
      </fill>
      <alignment horizontal="right" vertical="bottom"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1"/>
        <color rgb="FF000000"/>
        <name val="Calibri"/>
        <scheme val="none"/>
      </font>
      <numFmt numFmtId="3" formatCode="#,##0"/>
      <fill>
        <patternFill patternType="solid">
          <fgColor rgb="FFFFFFFF"/>
          <bgColor rgb="FFFFFFFF"/>
        </patternFill>
      </fill>
      <alignment horizontal="right" vertical="bottom"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1"/>
        <color rgb="FF000000"/>
        <name val="Calibri"/>
        <scheme val="none"/>
      </font>
      <numFmt numFmtId="3" formatCode="#,##0"/>
      <fill>
        <patternFill patternType="solid">
          <fgColor rgb="FFFFFFFF"/>
          <bgColor rgb="FFFFFFFF"/>
        </patternFill>
      </fill>
      <alignment horizontal="right" vertical="bottom"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1"/>
        <color rgb="FF000000"/>
        <name val="Calibri"/>
        <scheme val="none"/>
      </font>
      <numFmt numFmtId="3" formatCode="#,##0"/>
      <fill>
        <patternFill patternType="solid">
          <fgColor rgb="FFFFFFFF"/>
          <bgColor rgb="FFFFFFFF"/>
        </patternFill>
      </fill>
      <alignment horizontal="right" vertical="bottom"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1"/>
        <color rgb="FF000000"/>
        <name val="Calibri"/>
        <scheme val="none"/>
      </font>
      <fill>
        <patternFill patternType="solid">
          <fgColor rgb="FFFFFFFF"/>
          <bgColor rgb="FFFFFFFF"/>
        </patternFill>
      </fill>
      <alignment horizontal="center" vertical="bottom"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1"/>
        <color rgb="FF000000"/>
        <name val="Calibri"/>
        <scheme val="none"/>
      </font>
      <fill>
        <patternFill patternType="solid">
          <fgColor rgb="FFFFFFFF"/>
          <bgColor rgb="FFFFFFFF"/>
        </patternFill>
      </fill>
      <alignment horizontal="center" vertical="bottom"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1"/>
        <color rgb="FF000000"/>
        <name val="Calibri"/>
        <scheme val="none"/>
      </font>
      <fill>
        <patternFill patternType="solid">
          <fgColor rgb="FFFFFFFF"/>
          <bgColor rgb="FFFFFFFF"/>
        </patternFill>
      </fil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1"/>
        <color rgb="FF000000"/>
        <name val="Calibri"/>
        <scheme val="none"/>
      </font>
      <fill>
        <patternFill patternType="solid">
          <fgColor rgb="FFFFFFFF"/>
          <bgColor rgb="FFFFFFFF"/>
        </patternFill>
      </fil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1"/>
        <color rgb="FF000000"/>
        <name val="Calibri"/>
        <scheme val="none"/>
      </font>
      <fill>
        <patternFill patternType="solid">
          <fgColor rgb="FFFFFFFF"/>
          <bgColor rgb="FFFFFFFF"/>
        </patternFill>
      </fil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1"/>
        <color rgb="FF000000"/>
        <name val="Calibri"/>
        <scheme val="none"/>
      </font>
      <fill>
        <patternFill patternType="solid">
          <fgColor rgb="FFFFFFFF"/>
          <bgColor rgb="FFFFFFFF"/>
        </patternFill>
      </fil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1"/>
        <color rgb="FF000000"/>
        <name val="Calibri"/>
        <scheme val="none"/>
      </font>
      <fill>
        <patternFill patternType="solid">
          <fgColor rgb="FFFFFFFF"/>
          <bgColor rgb="FFFFFFFF"/>
        </patternFill>
      </fill>
      <border diagonalUp="0" diagonalDown="0">
        <left style="thin">
          <color rgb="FFD9D9D9"/>
        </left>
        <right style="thin">
          <color rgb="FFD9D9D9"/>
        </right>
        <top style="thin">
          <color rgb="FFD9D9D9"/>
        </top>
        <bottom style="thin">
          <color rgb="FFD9D9D9"/>
        </bottom>
        <vertical/>
        <horizontal/>
      </border>
    </dxf>
    <dxf>
      <border outline="0">
        <bottom style="thin">
          <color rgb="FFD9D9D9"/>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[PORTOFOLIO EXCEL DINDA.xlsx]PIVOT!PivotTable1</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Total Nilai Persediaan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PIVOT!$A$6</c:f>
              <c:strCache>
                <c:ptCount val="1"/>
                <c:pt idx="0">
                  <c:v>Grand Total</c:v>
                </c:pt>
              </c:strCache>
            </c:strRef>
          </c:cat>
          <c:val>
            <c:numRef>
              <c:f>PIVOT!$B$6</c:f>
              <c:numCache>
                <c:formatCode>#,##0</c:formatCode>
                <c:ptCount val="1"/>
              </c:numCache>
            </c:numRef>
          </c:val>
          <c:extLst>
            <c:ext xmlns:c16="http://schemas.microsoft.com/office/drawing/2014/chart" uri="{C3380CC4-5D6E-409C-BE32-E72D297353CC}">
              <c16:uniqueId val="{00000000-C4CD-40ED-9CDB-977C8F5D9713}"/>
            </c:ext>
          </c:extLst>
        </c:ser>
        <c:dLbls>
          <c:dLblPos val="outEnd"/>
          <c:showLegendKey val="0"/>
          <c:showVal val="1"/>
          <c:showCatName val="0"/>
          <c:showSerName val="0"/>
          <c:showPercent val="0"/>
          <c:showBubbleSize val="0"/>
        </c:dLbls>
        <c:gapWidth val="100"/>
        <c:overlap val="-24"/>
        <c:axId val="638390271"/>
        <c:axId val="638390751"/>
      </c:barChart>
      <c:catAx>
        <c:axId val="63839027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38390751"/>
        <c:crosses val="autoZero"/>
        <c:auto val="1"/>
        <c:lblAlgn val="ctr"/>
        <c:lblOffset val="100"/>
        <c:noMultiLvlLbl val="0"/>
      </c:catAx>
      <c:valAx>
        <c:axId val="638390751"/>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38390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[PORTOFOLIO EXCEL DINDA.xlsx]PIVOT!PivotTable2</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D"/>
              <a:t>Nilai Persediaan Barang Per Supplier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D"/>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barChart>
        <c:barDir val="bar"/>
        <c:grouping val="clustered"/>
        <c:varyColors val="0"/>
        <c:ser>
          <c:idx val="0"/>
          <c:order val="0"/>
          <c:tx>
            <c:strRef>
              <c:f>PIVOT!$F$5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PIVOT!$E$6:$E$15</c:f>
              <c:strCache>
                <c:ptCount val="9"/>
                <c:pt idx="0">
                  <c:v>CV Labware Indonesia</c:v>
                </c:pt>
                <c:pt idx="1">
                  <c:v>CV Sigma Nusantara</c:v>
                </c:pt>
                <c:pt idx="2">
                  <c:v>PT Advanced Nano Tech</c:v>
                </c:pt>
                <c:pt idx="3">
                  <c:v>PT Alpha Sciencetama</c:v>
                </c:pt>
                <c:pt idx="4">
                  <c:v>PT Anugerah Analitika</c:v>
                </c:pt>
                <c:pt idx="5">
                  <c:v>PT Chemlab Mandiri</c:v>
                </c:pt>
                <c:pt idx="6">
                  <c:v>PT Global Labora Mandiri</c:v>
                </c:pt>
                <c:pt idx="7">
                  <c:v>PT Medika Utama</c:v>
                </c:pt>
                <c:pt idx="8">
                  <c:v>PT Merck Chemical Indonesia</c:v>
                </c:pt>
              </c:strCache>
            </c:strRef>
          </c:cat>
          <c:val>
            <c:numRef>
              <c:f>PIVOT!$F$6:$F$15</c:f>
              <c:numCache>
                <c:formatCode>#,##0</c:formatCode>
                <c:ptCount val="9"/>
                <c:pt idx="0">
                  <c:v>29385000</c:v>
                </c:pt>
                <c:pt idx="1">
                  <c:v>64520000</c:v>
                </c:pt>
                <c:pt idx="2">
                  <c:v>1330000</c:v>
                </c:pt>
                <c:pt idx="3">
                  <c:v>137260000</c:v>
                </c:pt>
                <c:pt idx="4">
                  <c:v>165325000</c:v>
                </c:pt>
                <c:pt idx="5">
                  <c:v>93370000</c:v>
                </c:pt>
                <c:pt idx="6">
                  <c:v>240370000</c:v>
                </c:pt>
                <c:pt idx="7">
                  <c:v>83060000</c:v>
                </c:pt>
                <c:pt idx="8">
                  <c:v>29990000</c:v>
                </c:pt>
              </c:numCache>
            </c:numRef>
          </c:val>
          <c:extLst>
            <c:ext xmlns:c16="http://schemas.microsoft.com/office/drawing/2014/chart" uri="{C3380CC4-5D6E-409C-BE32-E72D297353CC}">
              <c16:uniqueId val="{00000008-CBCB-4232-A864-18B49C887155}"/>
            </c:ext>
          </c:extLst>
        </c:ser>
        <c:dLbls>
          <c:showLegendKey val="0"/>
          <c:showVal val="0"/>
          <c:showCatName val="0"/>
          <c:showSerName val="0"/>
          <c:showPercent val="0"/>
          <c:showBubbleSize val="0"/>
        </c:dLbls>
        <c:gapWidth val="100"/>
        <c:axId val="638362911"/>
        <c:axId val="638360991"/>
      </c:barChart>
      <c:valAx>
        <c:axId val="638360991"/>
        <c:scaling>
          <c:orientation val="minMax"/>
        </c:scaling>
        <c:delete val="0"/>
        <c:axPos val="b"/>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38362911"/>
        <c:crossBetween val="between"/>
      </c:valAx>
      <c:catAx>
        <c:axId val="638362911"/>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38360991"/>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[PORTOFOLIO EXCEL DINDA.xlsx]PIVOT!PivotTable4</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Status Inventaris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pivotFmt>
      <c:pivotFmt>
        <c:idx val="3"/>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pieChart>
        <c:varyColors val="1"/>
        <c:ser>
          <c:idx val="0"/>
          <c:order val="0"/>
          <c:tx>
            <c:strRef>
              <c:f>PIVOT!$L$5</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E208-4B38-BC96-730A7442D578}"/>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E208-4B38-BC96-730A7442D578}"/>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PIVOT!$K$6:$K$9</c:f>
              <c:strCache>
                <c:ptCount val="3"/>
                <c:pt idx="0">
                  <c:v>Habis</c:v>
                </c:pt>
                <c:pt idx="1">
                  <c:v>Menipis</c:v>
                </c:pt>
                <c:pt idx="2">
                  <c:v>Tersedia</c:v>
                </c:pt>
              </c:strCache>
            </c:strRef>
          </c:cat>
          <c:val>
            <c:numRef>
              <c:f>PIVOT!$L$6:$L$9</c:f>
              <c:numCache>
                <c:formatCode>General</c:formatCode>
                <c:ptCount val="3"/>
                <c:pt idx="0">
                  <c:v>1</c:v>
                </c:pt>
                <c:pt idx="1">
                  <c:v>11</c:v>
                </c:pt>
                <c:pt idx="2">
                  <c:v>37</c:v>
                </c:pt>
              </c:numCache>
            </c:numRef>
          </c:val>
          <c:extLst>
            <c:ext xmlns:c16="http://schemas.microsoft.com/office/drawing/2014/chart" uri="{C3380CC4-5D6E-409C-BE32-E72D297353CC}">
              <c16:uniqueId val="{00000004-E208-4B38-BC96-730A7442D57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[PORTOFOLIO EXCEL DINDA.xlsx]PIVOT!PivotTable5</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D"/>
              <a:t>Barang masuk dan keluar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square"/>
          <c:size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PIVOT!$N$5</c:f>
              <c:strCache>
                <c:ptCount val="1"/>
                <c:pt idx="0">
                  <c:v>Sum of Jumlah Masuk</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PIVOT!$N$6</c:f>
              <c:strCache>
                <c:ptCount val="1"/>
                <c:pt idx="0">
                  <c:v>Total</c:v>
                </c:pt>
              </c:strCache>
            </c:strRef>
          </c:cat>
          <c:val>
            <c:numRef>
              <c:f>PIVOT!$N$6</c:f>
              <c:numCache>
                <c:formatCode>#,##0</c:formatCode>
                <c:ptCount val="1"/>
                <c:pt idx="0">
                  <c:v>3840</c:v>
                </c:pt>
              </c:numCache>
            </c:numRef>
          </c:val>
          <c:extLst>
            <c:ext xmlns:c16="http://schemas.microsoft.com/office/drawing/2014/chart" uri="{C3380CC4-5D6E-409C-BE32-E72D297353CC}">
              <c16:uniqueId val="{00000000-EABD-4960-A134-ED95111EBBEB}"/>
            </c:ext>
          </c:extLst>
        </c:ser>
        <c:ser>
          <c:idx val="1"/>
          <c:order val="1"/>
          <c:tx>
            <c:strRef>
              <c:f>PIVOT!$O$5</c:f>
              <c:strCache>
                <c:ptCount val="1"/>
                <c:pt idx="0">
                  <c:v>Sum of Jumlah Keluar</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PIVOT!$N$6</c:f>
              <c:strCache>
                <c:ptCount val="1"/>
                <c:pt idx="0">
                  <c:v>Total</c:v>
                </c:pt>
              </c:strCache>
            </c:strRef>
          </c:cat>
          <c:val>
            <c:numRef>
              <c:f>PIVOT!$O$6</c:f>
              <c:numCache>
                <c:formatCode>#,##0</c:formatCode>
                <c:ptCount val="1"/>
                <c:pt idx="0">
                  <c:v>1771</c:v>
                </c:pt>
              </c:numCache>
            </c:numRef>
          </c:val>
          <c:extLst>
            <c:ext xmlns:c16="http://schemas.microsoft.com/office/drawing/2014/chart" uri="{C3380CC4-5D6E-409C-BE32-E72D297353CC}">
              <c16:uniqueId val="{00000001-EABD-4960-A134-ED95111EBBEB}"/>
            </c:ext>
          </c:extLst>
        </c:ser>
        <c:dLbls>
          <c:dLblPos val="ctr"/>
          <c:showLegendKey val="0"/>
          <c:showVal val="1"/>
          <c:showCatName val="0"/>
          <c:showSerName val="0"/>
          <c:showPercent val="0"/>
          <c:showBubbleSize val="0"/>
        </c:dLbls>
        <c:gapWidth val="115"/>
        <c:overlap val="-20"/>
        <c:axId val="638354271"/>
        <c:axId val="638337951"/>
      </c:barChart>
      <c:catAx>
        <c:axId val="63835427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337951"/>
        <c:crosses val="autoZero"/>
        <c:auto val="1"/>
        <c:lblAlgn val="ctr"/>
        <c:lblOffset val="100"/>
        <c:noMultiLvlLbl val="0"/>
      </c:catAx>
      <c:valAx>
        <c:axId val="63833795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354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[PORTOFOLIO EXCEL DINDA.xlsx]PIVOT!PivotTable3</c:name>
    <c:fmtId val="1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D"/>
              <a:t>Top 5 Barang Berdasarkan Nilai Persediaan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pieChart>
        <c:varyColors val="1"/>
        <c:ser>
          <c:idx val="0"/>
          <c:order val="0"/>
          <c:tx>
            <c:strRef>
              <c:f>PIVOT!$I$3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B9E4-4719-899C-7E6E2D397732}"/>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B9E4-4719-899C-7E6E2D397732}"/>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B9E4-4719-899C-7E6E2D397732}"/>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B9E4-4719-899C-7E6E2D397732}"/>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PIVOT!$H$4:$H$9</c:f>
              <c:strCache>
                <c:ptCount val="5"/>
                <c:pt idx="0">
                  <c:v>Akuades Steril</c:v>
                </c:pt>
                <c:pt idx="1">
                  <c:v>Metanol P.A.</c:v>
                </c:pt>
                <c:pt idx="2">
                  <c:v>Etanol 96%</c:v>
                </c:pt>
                <c:pt idx="3">
                  <c:v>Asam Klorida (HCl)</c:v>
                </c:pt>
                <c:pt idx="4">
                  <c:v>Perak Nitrat (AgNO3)</c:v>
                </c:pt>
              </c:strCache>
            </c:strRef>
          </c:cat>
          <c:val>
            <c:numRef>
              <c:f>PIVOT!$I$4:$I$9</c:f>
              <c:numCache>
                <c:formatCode>#,##0</c:formatCode>
                <c:ptCount val="5"/>
                <c:pt idx="0">
                  <c:v>7310000</c:v>
                </c:pt>
                <c:pt idx="1">
                  <c:v>107520000</c:v>
                </c:pt>
                <c:pt idx="2">
                  <c:v>152900000</c:v>
                </c:pt>
                <c:pt idx="3">
                  <c:v>216380000</c:v>
                </c:pt>
                <c:pt idx="4">
                  <c:v>360500000</c:v>
                </c:pt>
              </c:numCache>
            </c:numRef>
          </c:val>
          <c:extLst>
            <c:ext xmlns:c16="http://schemas.microsoft.com/office/drawing/2014/chart" uri="{C3380CC4-5D6E-409C-BE32-E72D297353CC}">
              <c16:uniqueId val="{00000008-B9E4-4719-899C-7E6E2D39773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28717</xdr:colOff>
      <xdr:row>22</xdr:row>
      <xdr:rowOff>3412</xdr:rowOff>
    </xdr:from>
    <xdr:to>
      <xdr:col>2</xdr:col>
      <xdr:colOff>1478508</xdr:colOff>
      <xdr:row>44</xdr:row>
      <xdr:rowOff>9478</xdr:rowOff>
    </xdr:to>
    <xdr:graphicFrame macro="">
      <xdr:nvGraphicFramePr>
        <xdr:cNvPr id="2" name="Chart 1">
          <a:extLst>
            <a:ext uri="{FF2B5EF4-FFF2-40B4-BE49-F238E27FC236}">
              <a16:creationId xmlns:a16="http://schemas.microsoft.com/office/drawing/2014/main" id="{5D44627C-8977-842B-5EE7-521666BAA7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45</xdr:row>
      <xdr:rowOff>177139</xdr:rowOff>
    </xdr:from>
    <xdr:to>
      <xdr:col>3</xdr:col>
      <xdr:colOff>842796</xdr:colOff>
      <xdr:row>67</xdr:row>
      <xdr:rowOff>161120</xdr:rowOff>
    </xdr:to>
    <xdr:graphicFrame macro="">
      <xdr:nvGraphicFramePr>
        <xdr:cNvPr id="3" name="Chart 6">
          <a:extLst>
            <a:ext uri="{FF2B5EF4-FFF2-40B4-BE49-F238E27FC236}">
              <a16:creationId xmlns:a16="http://schemas.microsoft.com/office/drawing/2014/main" id="{10FB045A-D52B-EAD0-7AF4-BF1C91B2EA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1810224</xdr:colOff>
      <xdr:row>22</xdr:row>
      <xdr:rowOff>22366</xdr:rowOff>
    </xdr:from>
    <xdr:to>
      <xdr:col>8</xdr:col>
      <xdr:colOff>56865</xdr:colOff>
      <xdr:row>43</xdr:row>
      <xdr:rowOff>161118</xdr:rowOff>
    </xdr:to>
    <xdr:graphicFrame macro="">
      <xdr:nvGraphicFramePr>
        <xdr:cNvPr id="5" name="Chart 2">
          <a:extLst>
            <a:ext uri="{FF2B5EF4-FFF2-40B4-BE49-F238E27FC236}">
              <a16:creationId xmlns:a16="http://schemas.microsoft.com/office/drawing/2014/main" id="{38C2DED1-30CD-78B8-760A-3E56322D59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70</xdr:row>
      <xdr:rowOff>14547</xdr:rowOff>
    </xdr:from>
    <xdr:to>
      <xdr:col>3</xdr:col>
      <xdr:colOff>1321836</xdr:colOff>
      <xdr:row>87</xdr:row>
      <xdr:rowOff>103674</xdr:rowOff>
    </xdr:to>
    <xdr:graphicFrame macro="">
      <xdr:nvGraphicFramePr>
        <xdr:cNvPr id="6" name="Chart 3">
          <a:extLst>
            <a:ext uri="{FF2B5EF4-FFF2-40B4-BE49-F238E27FC236}">
              <a16:creationId xmlns:a16="http://schemas.microsoft.com/office/drawing/2014/main" id="{74A6C02A-13E9-FE17-7070-303C7BFBA4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37911</xdr:colOff>
      <xdr:row>6</xdr:row>
      <xdr:rowOff>9477</xdr:rowOff>
    </xdr:from>
    <xdr:to>
      <xdr:col>1</xdr:col>
      <xdr:colOff>359771</xdr:colOff>
      <xdr:row>20</xdr:row>
      <xdr:rowOff>12558</xdr:rowOff>
    </xdr:to>
    <mc:AlternateContent xmlns:mc="http://schemas.openxmlformats.org/markup-compatibility/2006">
      <mc:Choice xmlns:a14="http://schemas.microsoft.com/office/drawing/2010/main" Requires="a14">
        <xdr:graphicFrame macro="">
          <xdr:nvGraphicFramePr>
            <xdr:cNvPr id="7" name="Kategori Barang">
              <a:extLst>
                <a:ext uri="{FF2B5EF4-FFF2-40B4-BE49-F238E27FC236}">
                  <a16:creationId xmlns:a16="http://schemas.microsoft.com/office/drawing/2014/main" id="{9B81609F-1D22-4F5B-8D61-D9C65898556A}"/>
                </a:ext>
              </a:extLst>
            </xdr:cNvPr>
            <xdr:cNvGraphicFramePr/>
          </xdr:nvGraphicFramePr>
          <xdr:xfrm>
            <a:off x="0" y="0"/>
            <a:ext cx="0" cy="0"/>
          </xdr:xfrm>
          <a:graphic>
            <a:graphicData uri="http://schemas.microsoft.com/office/drawing/2010/slicer">
              <sle:slicer xmlns:sle="http://schemas.microsoft.com/office/drawing/2010/slicer" name="Kategori Barang"/>
            </a:graphicData>
          </a:graphic>
        </xdr:graphicFrame>
      </mc:Choice>
      <mc:Fallback>
        <xdr:sp macro="" textlink="">
          <xdr:nvSpPr>
            <xdr:cNvPr id="0" name=""/>
            <xdr:cNvSpPr>
              <a:spLocks noTextEdit="1"/>
            </xdr:cNvSpPr>
          </xdr:nvSpPr>
          <xdr:spPr>
            <a:xfrm>
              <a:off x="37911" y="1252263"/>
              <a:ext cx="1827717" cy="254308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473882</xdr:colOff>
      <xdr:row>6</xdr:row>
      <xdr:rowOff>0</xdr:rowOff>
    </xdr:from>
    <xdr:to>
      <xdr:col>2</xdr:col>
      <xdr:colOff>1165368</xdr:colOff>
      <xdr:row>20</xdr:row>
      <xdr:rowOff>3081</xdr:rowOff>
    </xdr:to>
    <mc:AlternateContent xmlns:mc="http://schemas.openxmlformats.org/markup-compatibility/2006">
      <mc:Choice xmlns:a14="http://schemas.microsoft.com/office/drawing/2010/main" Requires="a14">
        <xdr:graphicFrame macro="">
          <xdr:nvGraphicFramePr>
            <xdr:cNvPr id="8" name="Supplier">
              <a:extLst>
                <a:ext uri="{FF2B5EF4-FFF2-40B4-BE49-F238E27FC236}">
                  <a16:creationId xmlns:a16="http://schemas.microsoft.com/office/drawing/2014/main" id="{F9D9A583-A483-4EDC-A81A-1AEB64BAE116}"/>
                </a:ext>
              </a:extLst>
            </xdr:cNvPr>
            <xdr:cNvGraphicFramePr/>
          </xdr:nvGraphicFramePr>
          <xdr:xfrm>
            <a:off x="0" y="0"/>
            <a:ext cx="0" cy="0"/>
          </xdr:xfrm>
          <a:graphic>
            <a:graphicData uri="http://schemas.microsoft.com/office/drawing/2010/slicer">
              <sle:slicer xmlns:sle="http://schemas.microsoft.com/office/drawing/2010/slicer" name="Supplier"/>
            </a:graphicData>
          </a:graphic>
        </xdr:graphicFrame>
      </mc:Choice>
      <mc:Fallback>
        <xdr:sp macro="" textlink="">
          <xdr:nvSpPr>
            <xdr:cNvPr id="0" name=""/>
            <xdr:cNvSpPr>
              <a:spLocks noTextEdit="1"/>
            </xdr:cNvSpPr>
          </xdr:nvSpPr>
          <xdr:spPr>
            <a:xfrm>
              <a:off x="1979739" y="1242786"/>
              <a:ext cx="1825415" cy="254308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1279479</xdr:colOff>
      <xdr:row>6</xdr:row>
      <xdr:rowOff>9477</xdr:rowOff>
    </xdr:from>
    <xdr:to>
      <xdr:col>3</xdr:col>
      <xdr:colOff>1269623</xdr:colOff>
      <xdr:row>20</xdr:row>
      <xdr:rowOff>12558</xdr:rowOff>
    </xdr:to>
    <mc:AlternateContent xmlns:mc="http://schemas.openxmlformats.org/markup-compatibility/2006">
      <mc:Choice xmlns:a14="http://schemas.microsoft.com/office/drawing/2010/main" Requires="a14">
        <xdr:graphicFrame macro="">
          <xdr:nvGraphicFramePr>
            <xdr:cNvPr id="10" name="Lokasi Penyimpanan">
              <a:extLst>
                <a:ext uri="{FF2B5EF4-FFF2-40B4-BE49-F238E27FC236}">
                  <a16:creationId xmlns:a16="http://schemas.microsoft.com/office/drawing/2014/main" id="{04592C30-7289-46EC-9823-0659F37588E4}"/>
                </a:ext>
              </a:extLst>
            </xdr:cNvPr>
            <xdr:cNvGraphicFramePr/>
          </xdr:nvGraphicFramePr>
          <xdr:xfrm>
            <a:off x="0" y="0"/>
            <a:ext cx="0" cy="0"/>
          </xdr:xfrm>
          <a:graphic>
            <a:graphicData uri="http://schemas.microsoft.com/office/drawing/2010/slicer">
              <sle:slicer xmlns:sle="http://schemas.microsoft.com/office/drawing/2010/slicer" name="Lokasi Penyimpanan"/>
            </a:graphicData>
          </a:graphic>
        </xdr:graphicFrame>
      </mc:Choice>
      <mc:Fallback>
        <xdr:sp macro="" textlink="">
          <xdr:nvSpPr>
            <xdr:cNvPr id="0" name=""/>
            <xdr:cNvSpPr>
              <a:spLocks noTextEdit="1"/>
            </xdr:cNvSpPr>
          </xdr:nvSpPr>
          <xdr:spPr>
            <a:xfrm>
              <a:off x="3919265" y="1252263"/>
              <a:ext cx="1831644" cy="254308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1412164</xdr:colOff>
      <xdr:row>6</xdr:row>
      <xdr:rowOff>9477</xdr:rowOff>
    </xdr:from>
    <xdr:to>
      <xdr:col>5</xdr:col>
      <xdr:colOff>350292</xdr:colOff>
      <xdr:row>20</xdr:row>
      <xdr:rowOff>12558</xdr:rowOff>
    </xdr:to>
    <mc:AlternateContent xmlns:mc="http://schemas.openxmlformats.org/markup-compatibility/2006">
      <mc:Choice xmlns:a14="http://schemas.microsoft.com/office/drawing/2010/main" Requires="a14">
        <xdr:graphicFrame macro="">
          <xdr:nvGraphicFramePr>
            <xdr:cNvPr id="11" name="Status">
              <a:extLst>
                <a:ext uri="{FF2B5EF4-FFF2-40B4-BE49-F238E27FC236}">
                  <a16:creationId xmlns:a16="http://schemas.microsoft.com/office/drawing/2014/main" id="{9CC36FA4-06F3-416B-9C47-122159FC5058}"/>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5893450" y="1252263"/>
              <a:ext cx="1831913" cy="254308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1003062</xdr:colOff>
      <xdr:row>45</xdr:row>
      <xdr:rowOff>160739</xdr:rowOff>
    </xdr:from>
    <xdr:to>
      <xdr:col>11</xdr:col>
      <xdr:colOff>161118</xdr:colOff>
      <xdr:row>67</xdr:row>
      <xdr:rowOff>151642</xdr:rowOff>
    </xdr:to>
    <xdr:graphicFrame macro="">
      <xdr:nvGraphicFramePr>
        <xdr:cNvPr id="12" name="Chart 25">
          <a:extLst>
            <a:ext uri="{FF2B5EF4-FFF2-40B4-BE49-F238E27FC236}">
              <a16:creationId xmlns:a16="http://schemas.microsoft.com/office/drawing/2014/main" id="{ACB56719-2512-687E-257E-BEBFCF22AF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11" refreshedDate="46221.785771759256" createdVersion="8" refreshedVersion="8" minRefreshableVersion="3" recordCount="310" xr:uid="{F3D74142-E698-41F0-9208-62427F97DFBC}">
  <cacheSource type="worksheet">
    <worksheetSource name="Table1"/>
  </cacheSource>
  <cacheFields count="15">
    <cacheField name="Kode Barang" numFmtId="0">
      <sharedItems count="218">
        <s v="APD-154"/>
        <s v="ALA-166"/>
        <s v="ALA-145"/>
        <s v="ALA-117"/>
        <s v="ALA-168"/>
        <s v="APD-164"/>
        <s v="ALA-184"/>
        <s v="REA-121"/>
        <s v="ALA-179"/>
        <s v="BAH-199"/>
        <s v="APD-142"/>
        <s v="BAH-194"/>
        <s v="BAH-151"/>
        <s v="ALA-156"/>
        <s v="REA-113"/>
        <s v="BAH-192"/>
        <s v="BAH-141"/>
        <s v="REA-155"/>
        <s v="ALA-185"/>
        <s v="BAH-185"/>
        <s v="BAH-126"/>
        <s v="BAH-107"/>
        <s v="ALA-188"/>
        <s v="ALA-157"/>
        <s v="ALA-153"/>
        <s v="BAH-178"/>
        <s v="REA-106"/>
        <s v="APD-150"/>
        <s v="ALA-177"/>
        <s v="BAH-144"/>
        <s v="ALA-154"/>
        <s v="ALA-172"/>
        <s v="ALA-174"/>
        <s v="APD-109"/>
        <s v="ALA-122"/>
        <s v="APD-177"/>
        <s v="ALA-165"/>
        <s v="ALA-124"/>
        <s v="ALA-131"/>
        <s v="REA-187"/>
        <s v="BAH-170"/>
        <s v="BAH-162"/>
        <s v="BAH-119"/>
        <s v="ALA-142"/>
        <s v="REA-168"/>
        <s v="REA-166"/>
        <s v="BAH-103"/>
        <s v="BAH-127"/>
        <s v="REA-178"/>
        <s v="BAH-172"/>
        <s v="ALA-169"/>
        <s v="APD-187"/>
        <s v="BAH-131"/>
        <s v="BAH-143"/>
        <s v="BAH-158"/>
        <s v="ALA-148"/>
        <s v="REA-114"/>
        <s v="APD-189"/>
        <s v="BAH-159"/>
        <s v="ALA-138"/>
        <s v="APD-107"/>
        <s v="BAH-105"/>
        <s v="BAH-114"/>
        <s v="BAH-176"/>
        <s v="BAH-160"/>
        <s v="ALA-193"/>
        <s v="REA-131"/>
        <s v="REA-189"/>
        <s v="ALA-189"/>
        <s v="BAH-196"/>
        <s v="BAH-100"/>
        <s v="APD-131"/>
        <s v="ALA-147"/>
        <s v="REA-182"/>
        <s v="ALA-130"/>
        <s v="APD-195"/>
        <s v="REA-190"/>
        <s v="BAH-121"/>
        <s v="REA-197"/>
        <s v="BAH-106"/>
        <s v="APD-145"/>
        <s v="ALA-182"/>
        <s v="BAH-136"/>
        <s v="BAH-129"/>
        <s v="ALA-192"/>
        <s v="REA-199"/>
        <s v="REA-163"/>
        <s v="BAH-161"/>
        <s v="ALA-116"/>
        <s v="BAH-189"/>
        <s v="BAH-163"/>
        <s v="REA-145"/>
        <s v="ALA-105"/>
        <s v="ALA-108"/>
        <s v="APD-139"/>
        <s v="ALA-140"/>
        <s v="ALA-103"/>
        <s v="BAH-184"/>
        <s v="APD-186"/>
        <s v="BAH-120"/>
        <s v="REA-102"/>
        <s v="REA-169"/>
        <s v="BAH-109"/>
        <s v="ALA-196"/>
        <s v="APD-135"/>
        <s v="BAH-198"/>
        <s v="ALA-178"/>
        <s v="REA-118"/>
        <s v="REA-117"/>
        <s v="BAH-153"/>
        <s v="REA-159"/>
        <s v="REA-122"/>
        <s v="ALA-125"/>
        <s v="REA-100"/>
        <s v="ALA-198"/>
        <s v="REA-132"/>
        <s v="BAH-190"/>
        <s v="BAH-193"/>
        <s v="ALA-194"/>
        <s v="APD-169"/>
        <s v="BAH-122"/>
        <s v="REA-142"/>
        <s v="REA-104"/>
        <s v="APD-162"/>
        <s v="BAH-191"/>
        <s v="ALA-100"/>
        <s v="APD-173"/>
        <s v="APD-130"/>
        <s v="BAH-142"/>
        <s v="APD-159"/>
        <s v="ALA-170"/>
        <s v="ALA-155"/>
        <s v="REA-108"/>
        <s v="BAH-186"/>
        <s v="REA-103"/>
        <s v="APD-156"/>
        <s v="ALA-139"/>
        <s v="REA-144"/>
        <s v="BAH-138"/>
        <s v="BAH-111"/>
        <s v="REA-112"/>
        <s v="BAH-115"/>
        <s v="ALA-149"/>
        <s v="ALA-141"/>
        <s v="APD-101"/>
        <s v="APD-190"/>
        <s v="BAH-174"/>
        <s v="BAH-157"/>
        <s v="BAH-166"/>
        <s v="REA-179"/>
        <s v="ALA-101"/>
        <s v="APD-166"/>
        <s v="BAH-104"/>
        <s v="APD-196"/>
        <s v="BAH-152"/>
        <s v="ALA-161"/>
        <s v="APD-191"/>
        <s v="BAH-146"/>
        <s v="ALA-199"/>
        <s v="APD-123"/>
        <s v="BAH-112"/>
        <s v="BAH-102"/>
        <s v="APD-174"/>
        <s v="BAH-150"/>
        <s v="BAH-183"/>
        <s v="ALA-132"/>
        <s v="REA-174"/>
        <s v="APD-170"/>
        <s v="REA-120"/>
        <s v="REA-196"/>
        <s v="ALA-133"/>
        <s v="APD-153"/>
        <s v="REA-125"/>
        <s v="ALA-113"/>
        <s v="ALA-146"/>
        <s v="APD-148"/>
        <s v="BAH-124"/>
        <s v="BAH-197"/>
        <s v="ALA-150"/>
        <s v="BAH-117"/>
        <s v="REA-153"/>
        <s v="APD-199"/>
        <s v="REA-158"/>
        <s v="ALA-121"/>
        <s v="BAH-177"/>
        <s v="APD-188"/>
        <s v="REA-138"/>
        <s v="ALA-134"/>
        <s v="BAH-108"/>
        <s v="ALA-151"/>
        <s v="ALA-120"/>
        <s v="APD-143"/>
        <s v="BAH-188"/>
        <s v="APD-161"/>
        <s v="BAH-125"/>
        <s v="BAH-149"/>
        <s v="BAH-101"/>
        <s v="ALA-126"/>
        <s v="BAH-156"/>
        <s v="ALA-152"/>
        <s v="BAH-110"/>
        <s v="ALA-191"/>
        <s v="BAH-181"/>
        <s v="ALA-143"/>
        <s v="APD-124"/>
        <s v="APD-181"/>
        <s v="REA-109"/>
        <s v="APD-178"/>
        <s v="APD-185"/>
        <s v="REA-152"/>
        <s v="REA-172"/>
        <s v="BAH-123"/>
        <s v="BAH-128"/>
        <s v="ALA-180"/>
        <s v="ALA-158"/>
        <s v="APD-136"/>
        <s v="APD-152"/>
        <s v="ALA-163"/>
      </sharedItems>
    </cacheField>
    <cacheField name="Nama Barang" numFmtId="0">
      <sharedItems count="28">
        <s v="Masker Medis 3-Ply"/>
        <s v="Gelas Kimia 250mL"/>
        <s v="Tabung Reaksi"/>
        <s v="Mini Centrifuge"/>
        <s v="Pipet Volume 10mL"/>
        <s v="Jas Laboratorium"/>
        <s v="pH Meter"/>
        <s v="Buffer TAE 50X"/>
        <s v="Vortex Mixer"/>
        <s v="Kertas Saring Whatman"/>
        <s v="Metanol P.A."/>
        <s v="Parafilm M Roll"/>
        <s v="PCR Master Mix 2X"/>
        <s v="Etanol 96%"/>
        <s v="Gel Red Stain"/>
        <s v="Sarung Tangan Nitril"/>
        <s v="Asam Klorida (HCl)"/>
        <s v="Tip Pipet 200µL"/>
        <s v="Perak Nitrat (AgNO3)"/>
        <s v="Timbangan Analitik"/>
        <s v="Proteinase K"/>
        <s v="Mikropipet 100-1000 µL"/>
        <s v="Akuades Steril"/>
        <s v="Labu Erlenmeyer 500mL"/>
        <s v="Kacamata Google Safety"/>
        <s v="Kit Ekstraksi DNA"/>
        <s v="Aluminium Foil"/>
        <s v="Gelas Ukur 100mL"/>
      </sharedItems>
    </cacheField>
    <cacheField name="Kategori Barang" numFmtId="0">
      <sharedItems count="6">
        <s v="APD"/>
        <s v="Alat Gelas"/>
        <s v="Alat Laboratorium"/>
        <s v="Reagen"/>
        <s v="Bahan Habis Pakai"/>
        <s v="Bahan Kimia"/>
      </sharedItems>
    </cacheField>
    <cacheField name="Satuan" numFmtId="0">
      <sharedItems count="6">
        <s v="Box"/>
        <s v="Pcs"/>
        <s v="Unit"/>
        <s v="Kit"/>
        <s v="Pack"/>
        <s v="Botol"/>
      </sharedItems>
    </cacheField>
    <cacheField name="Supplier" numFmtId="0">
      <sharedItems count="10">
        <s v="CV Labware Indonesia"/>
        <s v="PT Anugerah Analitika"/>
        <s v="PT Medika Utama"/>
        <s v="PT Global Labora Mandiri"/>
        <s v="CV Biotech Pratama"/>
        <s v="PT Merck Chemical Indonesia"/>
        <s v="PT Chemlab Mandiri"/>
        <s v="PT Advanced Nano Tech"/>
        <s v="CV Sigma Nusantara"/>
        <s v="PT Alpha Sciencetama"/>
      </sharedItems>
    </cacheField>
    <cacheField name="Tanggal Masuk" numFmtId="0">
      <sharedItems count="200">
        <s v="2025-08-25"/>
        <s v="2025-05-08"/>
        <s v="2025-05-15"/>
        <s v="2025-11-11"/>
        <s v="2025-10-09"/>
        <s v="2025-05-03"/>
        <s v="2025-07-16"/>
        <s v="2025-08-01"/>
        <s v="2025-05-17"/>
        <s v="2025-06-17"/>
        <s v="2025-09-05"/>
        <s v="2025-10-27"/>
        <s v="2025-01-02"/>
        <s v="2025-03-13"/>
        <s v="2025-06-18"/>
        <s v="2025-11-26"/>
        <s v="2025-01-24"/>
        <s v="2025-11-01"/>
        <s v="2025-08-26"/>
        <s v="2025-11-02"/>
        <s v="2025-11-30"/>
        <s v="2025-08-22"/>
        <s v="2025-10-04"/>
        <s v="2025-06-06"/>
        <s v="2025-04-06"/>
        <s v="2025-04-09"/>
        <s v="2025-04-08"/>
        <s v="2025-10-17"/>
        <s v="2025-10-02"/>
        <s v="2025-08-30"/>
        <s v="2025-04-10"/>
        <s v="2025-07-12"/>
        <s v="2025-07-04"/>
        <s v="2025-03-25"/>
        <s v="2025-09-20"/>
        <s v="2025-10-01"/>
        <s v="2025-12-07"/>
        <s v="2025-07-24"/>
        <s v="2025-01-10"/>
        <s v="2025-01-16"/>
        <s v="2025-02-04"/>
        <s v="2025-10-24"/>
        <s v="2025-05-16"/>
        <s v="2025-06-07"/>
        <s v="2025-08-07"/>
        <s v="2025-12-03"/>
        <s v="2025-09-08"/>
        <s v="2025-10-12"/>
        <s v="2025-08-23"/>
        <s v="2025-01-18"/>
        <s v="2025-07-07"/>
        <s v="2025-03-21"/>
        <s v="2025-04-18"/>
        <s v="2025-05-13"/>
        <s v="2025-09-14"/>
        <s v="2025-08-08"/>
        <s v="2025-09-24"/>
        <s v="2025-07-21"/>
        <s v="2025-08-18"/>
        <s v="2025-07-11"/>
        <s v="2025-03-26"/>
        <s v="2025-01-09"/>
        <s v="2025-06-29"/>
        <s v="2025-02-24"/>
        <s v="2025-10-25"/>
        <s v="2025-03-29"/>
        <s v="2025-01-28"/>
        <s v="2025-03-28"/>
        <s v="2025-05-19"/>
        <s v="2025-11-23"/>
        <s v="2025-11-13"/>
        <s v="2025-10-31"/>
        <s v="2025-02-22"/>
        <s v="2025-03-23"/>
        <s v="2025-05-12"/>
        <s v="2025-10-05"/>
        <s v="2025-08-28"/>
        <s v="2025-05-21"/>
        <s v="2025-09-15"/>
        <s v="2025-01-05"/>
        <s v="2025-10-13"/>
        <s v="2025-07-19"/>
        <s v="2025-10-19"/>
        <s v="2025-10-30"/>
        <s v="2025-10-26"/>
        <s v="2025-02-08"/>
        <s v="2025-11-12"/>
        <s v="2025-02-15"/>
        <s v="2025-09-02"/>
        <s v="2025-02-26"/>
        <s v="2025-02-09"/>
        <s v="2025-05-11"/>
        <s v="2025-10-07"/>
        <s v="2025-06-26"/>
        <s v="2025-09-21"/>
        <s v="2025-02-19"/>
        <s v="2025-08-12"/>
        <s v="2025-07-10"/>
        <s v="2025-11-16"/>
        <s v="2025-04-30"/>
        <s v="2025-05-27"/>
        <s v="2025-01-26"/>
        <s v="2025-01-30"/>
        <s v="2025-11-08"/>
        <s v="2025-05-09"/>
        <s v="2025-10-03"/>
        <s v="2025-05-04"/>
        <s v="2025-11-25"/>
        <s v="2025-05-01"/>
        <s v="2025-08-14"/>
        <s v="2025-09-29"/>
        <s v="2025-11-09"/>
        <s v="2025-02-03"/>
        <s v="2025-02-02"/>
        <s v="2025-05-30"/>
        <s v="2025-02-23"/>
        <s v="2025-10-20"/>
        <s v="2025-11-06"/>
        <s v="2025-01-21"/>
        <s v="2025-07-20"/>
        <s v="2025-10-18"/>
        <s v="2025-11-14"/>
        <s v="2025-03-04"/>
        <s v="2025-07-06"/>
        <s v="2025-11-27"/>
        <s v="2025-01-06"/>
        <s v="2025-09-25"/>
        <s v="2025-09-23"/>
        <s v="2025-03-20"/>
        <s v="2025-11-15"/>
        <s v="2025-02-18"/>
        <s v="2025-04-15"/>
        <s v="2025-09-17"/>
        <s v="2025-07-28"/>
        <s v="2025-08-10"/>
        <s v="2025-03-16"/>
        <s v="2025-09-27"/>
        <s v="2025-08-17"/>
        <s v="2025-08-03"/>
        <s v="2025-05-24"/>
        <s v="2025-06-02"/>
        <s v="2025-07-22"/>
        <s v="2025-03-02"/>
        <s v="2025-01-31"/>
        <s v="2025-05-20"/>
        <s v="2025-08-15"/>
        <s v="2025-06-19"/>
        <s v="2025-05-29"/>
        <s v="2025-09-13"/>
        <s v="2025-04-23"/>
        <s v="2025-11-20"/>
        <s v="2025-04-05"/>
        <s v="2025-02-16"/>
        <s v="2025-10-23"/>
        <s v="2025-01-27"/>
        <s v="2025-02-27"/>
        <s v="2025-07-05"/>
        <s v="2025-08-11"/>
        <s v="2025-09-11"/>
        <s v="2025-03-05"/>
        <s v="2025-04-24"/>
        <s v="2025-09-16"/>
        <s v="2025-05-14"/>
        <s v="2025-09-07"/>
        <s v="2025-02-17"/>
        <s v="2025-08-02"/>
        <s v="2025-08-05"/>
        <s v="2025-10-21"/>
        <s v="2025-08-24"/>
        <s v="2025-05-23"/>
        <s v="2025-06-25"/>
        <s v="2025-08-20"/>
        <s v="2025-02-05"/>
        <s v="2025-07-03"/>
        <s v="2025-08-06"/>
        <s v="2025-04-28"/>
        <s v="2025-01-20"/>
        <s v="2025-03-07"/>
        <s v="2025-12-01"/>
        <s v="2025-08-29"/>
        <s v="2025-11-07"/>
        <s v="2025-10-22"/>
        <s v="2025-05-10"/>
        <s v="2025-06-04"/>
        <s v="2025-12-05"/>
        <s v="2025-08-09"/>
        <s v="2025-09-04"/>
        <s v="2025-01-15"/>
        <s v="2025-02-20"/>
        <s v="2025-02-21"/>
        <s v="2025-09-19"/>
        <s v="2025-11-18"/>
        <s v="2025-05-28"/>
        <s v="2025-11-05"/>
        <s v="2025-09-09"/>
        <s v="2025-04-11"/>
        <s v="2025-10-11"/>
        <s v="2025-05-05"/>
        <s v="2025-10-10"/>
        <s v="2025-04-07"/>
      </sharedItems>
    </cacheField>
    <cacheField name="Tanggal Keluar" numFmtId="0">
      <sharedItems containsBlank="1" count="174">
        <s v="2025-09-07"/>
        <s v="2025-05-15"/>
        <m/>
        <s v="2025-11-14"/>
        <s v="2025-10-20"/>
        <s v="2025-07-18"/>
        <s v="2025-05-22"/>
        <s v="2025-09-13"/>
        <s v="2025-11-08"/>
        <s v="2025-01-08"/>
        <s v="2025-03-22"/>
        <s v="2025-06-21"/>
        <s v="2025-11-27"/>
        <s v="2025-02-07"/>
        <s v="2025-11-03"/>
        <s v="2025-09-03"/>
        <s v="2025-05-27"/>
        <s v="2025-10-19"/>
        <s v="2025-06-08"/>
        <s v="2025-04-24"/>
        <s v="2025-04-21"/>
        <s v="2025-10-30"/>
        <s v="2025-10-09"/>
        <s v="2025-09-09"/>
        <s v="2025-04-11"/>
        <s v="2025-07-17"/>
        <s v="2025-07-11"/>
        <s v="2025-04-07"/>
        <s v="2025-09-27"/>
        <s v="2025-10-07"/>
        <s v="2025-12-19"/>
        <s v="2025-07-30"/>
        <s v="2025-02-14"/>
        <s v="2025-10-25"/>
        <s v="2025-06-09"/>
        <s v="2025-08-17"/>
        <s v="2025-06-20"/>
        <s v="2025-12-06"/>
        <s v="2025-09-01"/>
        <s v="2025-01-22"/>
        <s v="2025-07-19"/>
        <s v="2025-10-12"/>
        <s v="2025-09-21"/>
        <s v="2025-10-02"/>
        <s v="2025-08-01"/>
        <s v="2025-12-11"/>
        <s v="2025-08-27"/>
        <s v="2025-07-20"/>
        <s v="2025-07-13"/>
        <s v="2025-03-02"/>
        <s v="2025-04-05"/>
        <s v="2025-02-05"/>
        <s v="2025-04-06"/>
        <s v="2025-04-16"/>
        <s v="2025-07-02"/>
        <s v="2025-06-01"/>
        <s v="2025-01-25"/>
        <s v="2025-11-06"/>
        <s v="2025-04-03"/>
        <s v="2025-10-14"/>
        <s v="2025-07-22"/>
        <s v="2025-05-23"/>
        <s v="2025-09-25"/>
        <s v="2025-01-13"/>
        <s v="2025-10-23"/>
        <s v="2025-02-22"/>
        <s v="2025-11-13"/>
        <s v="2025-03-11"/>
        <s v="2025-02-16"/>
        <s v="2025-05-19"/>
        <s v="2025-09-22"/>
        <s v="2025-10-17"/>
        <s v="2025-08-21"/>
        <s v="2025-08-19"/>
        <s v="2025-07-21"/>
        <s v="2025-10-18"/>
        <s v="2025-12-01"/>
        <s v="2025-05-08"/>
        <s v="2025-06-05"/>
        <s v="2025-01-29"/>
        <s v="2025-02-08"/>
        <s v="2025-06-12"/>
        <s v="2025-11-10"/>
        <s v="2025-05-20"/>
        <s v="2025-05-06"/>
        <s v="2025-12-03"/>
        <s v="2025-05-14"/>
        <s v="2025-08-24"/>
        <s v="2025-10-08"/>
        <s v="2025-11-11"/>
        <s v="2025-02-18"/>
        <s v="2025-02-15"/>
        <s v="2025-05-31"/>
        <s v="2025-03-05"/>
        <s v="2025-09-24"/>
        <s v="2025-02-01"/>
        <s v="2025-08-03"/>
        <s v="2025-03-16"/>
        <s v="2025-07-16"/>
        <s v="2025-05-18"/>
        <s v="2025-02-25"/>
        <s v="2025-01-07"/>
        <s v="2025-09-29"/>
        <s v="2025-10-28"/>
        <s v="2025-09-12"/>
        <s v="2025-11-17"/>
        <s v="2025-04-25"/>
        <s v="2025-03-18"/>
        <s v="2025-05-13"/>
        <s v="2025-08-08"/>
        <s v="2025-03-31"/>
        <s v="2025-10-01"/>
        <s v="2025-08-25"/>
        <s v="2025-08-11"/>
        <s v="2025-10-15"/>
        <s v="2025-06-13"/>
        <s v="2025-07-03"/>
        <s v="2025-10-06"/>
        <s v="2025-06-18"/>
        <s v="2025-03-08"/>
        <s v="2025-05-11"/>
        <s v="2025-02-10"/>
        <s v="2025-08-30"/>
        <s v="2025-06-25"/>
        <s v="2025-11-07"/>
        <s v="2025-11-23"/>
        <s v="2025-04-19"/>
        <s v="2025-08-10"/>
        <s v="2025-06-29"/>
        <s v="2025-11-09"/>
        <s v="2025-11-05"/>
        <s v="2025-02-02"/>
        <s v="2025-04-17"/>
        <s v="2025-08-15"/>
        <s v="2025-09-17"/>
        <s v="2025-03-17"/>
        <s v="2025-02-11"/>
        <s v="2025-03-03"/>
        <s v="2025-01-11"/>
        <s v="2025-05-30"/>
        <s v="2025-06-27"/>
        <s v="2025-11-01"/>
        <s v="2025-11-30"/>
        <s v="2025-07-09"/>
        <s v="2025-09-04"/>
        <s v="2025-11-19"/>
        <s v="2025-02-17"/>
        <s v="2025-03-06"/>
        <s v="2025-11-02"/>
        <s v="2025-10-05"/>
        <s v="2025-08-16"/>
        <s v="2025-12-10"/>
        <s v="2025-03-13"/>
        <s v="2025-12-08"/>
        <s v="2025-05-24"/>
        <s v="2025-04-18"/>
        <s v="2025-05-25"/>
        <s v="2025-07-25"/>
        <s v="2025-05-05"/>
        <s v="2025-07-24"/>
        <s v="2025-06-06"/>
        <s v="2025-03-14"/>
        <s v="2025-09-18"/>
        <s v="2025-11-26"/>
        <s v="2025-05-02"/>
        <s v="2025-01-17"/>
        <s v="2025-02-28"/>
        <s v="2025-02-04"/>
        <s v="2025-11-18"/>
        <s v="2025-08-13"/>
        <s v="2025-09-15"/>
        <s v="2025-06-11"/>
        <s v="2025-01-30"/>
        <s v="2025-10-13"/>
      </sharedItems>
    </cacheField>
    <cacheField name="Jumlah Masuk" numFmtId="3">
      <sharedItems containsSemiMixedTypes="0" containsString="0" containsNumber="1" containsInteger="1" minValue="2" maxValue="200"/>
    </cacheField>
    <cacheField name="Jumlah Keluar" numFmtId="3">
      <sharedItems containsSemiMixedTypes="0" containsString="0" containsNumber="1" containsInteger="1" minValue="0" maxValue="198" count="96">
        <n v="84"/>
        <n v="12"/>
        <n v="0"/>
        <n v="1"/>
        <n v="9"/>
        <n v="2"/>
        <n v="21"/>
        <n v="43"/>
        <n v="32"/>
        <n v="7"/>
        <n v="100"/>
        <n v="134"/>
        <n v="123"/>
        <n v="28"/>
        <n v="81"/>
        <n v="3"/>
        <n v="4"/>
        <n v="6"/>
        <n v="113"/>
        <n v="145"/>
        <n v="23"/>
        <n v="114"/>
        <n v="15"/>
        <n v="26"/>
        <n v="13"/>
        <n v="24"/>
        <n v="18"/>
        <n v="39"/>
        <n v="198"/>
        <n v="156"/>
        <n v="147"/>
        <n v="8"/>
        <n v="129"/>
        <n v="50"/>
        <n v="92"/>
        <n v="11"/>
        <n v="66"/>
        <n v="91"/>
        <n v="38"/>
        <n v="5"/>
        <n v="68"/>
        <n v="44"/>
        <n v="96"/>
        <n v="34"/>
        <n v="124"/>
        <n v="90"/>
        <n v="167"/>
        <n v="10"/>
        <n v="128"/>
        <n v="196"/>
        <n v="168"/>
        <n v="89"/>
        <n v="51"/>
        <n v="42"/>
        <n v="33"/>
        <n v="115"/>
        <n v="56"/>
        <n v="186"/>
        <n v="112"/>
        <n v="25"/>
        <n v="79"/>
        <n v="132"/>
        <n v="180"/>
        <n v="109"/>
        <n v="154"/>
        <n v="40"/>
        <n v="52"/>
        <n v="101"/>
        <n v="88"/>
        <n v="19"/>
        <n v="29"/>
        <n v="14"/>
        <n v="36"/>
        <n v="78"/>
        <n v="73"/>
        <n v="87"/>
        <n v="149"/>
        <n v="35"/>
        <n v="118"/>
        <n v="20"/>
        <n v="17"/>
        <n v="77"/>
        <n v="143"/>
        <n v="65"/>
        <n v="64"/>
        <n v="102"/>
        <n v="61"/>
        <n v="62"/>
        <n v="93"/>
        <n v="60"/>
        <n v="16"/>
        <n v="127"/>
        <n v="75"/>
        <n v="47"/>
        <n v="103"/>
        <n v="76"/>
      </sharedItems>
    </cacheField>
    <cacheField name="Stok Akhir" numFmtId="3">
      <sharedItems containsSemiMixedTypes="0" containsString="0" containsNumber="1" containsInteger="1" minValue="0" maxValue="200" count="91">
        <n v="16"/>
        <n v="188"/>
        <n v="100"/>
        <n v="1"/>
        <n v="91"/>
        <n v="10"/>
        <n v="3"/>
        <n v="5"/>
        <n v="79"/>
        <n v="107"/>
        <n v="18"/>
        <n v="93"/>
        <n v="0"/>
        <n v="66"/>
        <n v="27"/>
        <n v="122"/>
        <n v="50"/>
        <n v="20"/>
        <n v="19"/>
        <n v="2"/>
        <n v="4"/>
        <n v="37"/>
        <n v="127"/>
        <n v="36"/>
        <n v="7"/>
        <n v="8"/>
        <n v="174"/>
        <n v="150"/>
        <n v="76"/>
        <n v="161"/>
        <n v="77"/>
        <n v="44"/>
        <n v="187"/>
        <n v="53"/>
        <n v="12"/>
        <n v="21"/>
        <n v="9"/>
        <n v="84"/>
        <n v="32"/>
        <n v="29"/>
        <n v="6"/>
        <n v="54"/>
        <n v="195"/>
        <n v="26"/>
        <n v="92"/>
        <n v="60"/>
        <n v="33"/>
        <n v="47"/>
        <n v="72"/>
        <n v="15"/>
        <n v="61"/>
        <n v="49"/>
        <n v="108"/>
        <n v="17"/>
        <n v="35"/>
        <n v="14"/>
        <n v="38"/>
        <n v="125"/>
        <n v="39"/>
        <n v="71"/>
        <n v="46"/>
        <n v="48"/>
        <n v="94"/>
        <n v="132"/>
        <n v="55"/>
        <n v="22"/>
        <n v="64"/>
        <n v="42"/>
        <n v="126"/>
        <n v="200"/>
        <n v="11"/>
        <n v="113"/>
        <n v="13"/>
        <n v="25"/>
        <n v="23"/>
        <n v="57"/>
        <n v="85"/>
        <n v="98"/>
        <n v="166"/>
        <n v="139"/>
        <n v="88"/>
        <n v="24"/>
        <n v="90"/>
        <n v="34"/>
        <n v="83"/>
        <n v="95"/>
        <n v="121"/>
        <n v="40"/>
        <n v="157"/>
        <n v="112"/>
        <n v="62"/>
      </sharedItems>
    </cacheField>
    <cacheField name="Harga Satuan" numFmtId="3">
      <sharedItems containsSemiMixedTypes="0" containsString="0" containsNumber="1" containsInteger="1" minValue="12000" maxValue="4500000" count="23">
        <n v="45000"/>
        <n v="12000"/>
        <n v="4500000"/>
        <n v="35000"/>
        <n v="150000"/>
        <n v="1850000"/>
        <n v="350000"/>
        <n v="3800000"/>
        <n v="240000"/>
        <n v="280000"/>
        <n v="650000"/>
        <n v="850000"/>
        <n v="220000"/>
        <n v="85000"/>
        <n v="310000"/>
        <n v="75000"/>
        <n v="1750000"/>
        <n v="1550000"/>
        <n v="450000"/>
        <n v="2450000"/>
        <n v="65000"/>
        <n v="1250000"/>
        <n v="55000"/>
      </sharedItems>
    </cacheField>
    <cacheField name="Total Nilai Persediaan" numFmtId="3">
      <sharedItems containsSemiMixedTypes="0" containsString="0" containsNumber="1" containsInteger="1" minValue="0" maxValue="165000000" count="222">
        <n v="720000"/>
        <n v="8460000"/>
        <n v="1200000"/>
        <n v="4500000"/>
        <n v="3185000"/>
        <n v="1500000"/>
        <n v="5550000"/>
        <n v="35000000"/>
        <n v="19000000"/>
        <n v="24000000"/>
        <n v="3555000"/>
        <n v="29960000"/>
        <n v="11700000"/>
        <n v="1116000"/>
        <n v="0"/>
        <n v="14520000"/>
        <n v="6480000"/>
        <n v="79300000"/>
        <n v="3800000"/>
        <n v="5610000"/>
        <n v="15500000"/>
        <n v="33250000"/>
        <n v="3100000"/>
        <n v="1550000"/>
        <n v="48000"/>
        <n v="13000000"/>
        <n v="16650000"/>
        <n v="225000"/>
        <n v="7350000"/>
        <n v="5715000"/>
        <n v="3060000"/>
        <n v="245000"/>
        <n v="455000"/>
        <n v="810000"/>
        <n v="175000"/>
        <n v="19600000"/>
        <n v="147900000"/>
        <n v="6750000"/>
        <n v="900000"/>
        <n v="1300000"/>
        <n v="8750000"/>
        <n v="133000000"/>
        <n v="3500000"/>
        <n v="1850000"/>
        <n v="136850000"/>
        <n v="65000000"/>
        <n v="480000"/>
        <n v="9250000"/>
        <n v="45000"/>
        <n v="1050000"/>
        <n v="50050000"/>
        <n v="5500000"/>
        <n v="1540000"/>
        <n v="595000"/>
        <n v="5600000"/>
        <n v="41140000"/>
        <n v="450000"/>
        <n v="2385000"/>
        <n v="700000"/>
        <n v="420000"/>
        <n v="1785000"/>
        <n v="1100000"/>
        <n v="4900000"/>
        <n v="360000"/>
        <n v="2790000"/>
        <n v="29400000"/>
        <n v="4050000"/>
        <n v="440000"/>
        <n v="4800000"/>
        <n v="1020000"/>
        <n v="36000000"/>
        <n v="405000"/>
        <n v="18500000"/>
        <n v="275000"/>
        <n v="1440000"/>
        <n v="1350000"/>
        <n v="18850000"/>
        <n v="46500000"/>
        <n v="2100000"/>
        <n v="2430000"/>
        <n v="3720000"/>
        <n v="2240000"/>
        <n v="444000"/>
        <n v="7200000"/>
        <n v="17000000"/>
        <n v="14625000"/>
        <n v="2210000"/>
        <n v="315000"/>
        <n v="4140000"/>
        <n v="13200000"/>
        <n v="12000000"/>
        <n v="41250000"/>
        <n v="3055000"/>
        <n v="120000"/>
        <n v="12000"/>
        <n v="4550000"/>
        <n v="7600000"/>
        <n v="90000000"/>
        <n v="5000000"/>
        <n v="3300000"/>
        <n v="4480000"/>
        <n v="2720000"/>
        <n v="27450000"/>
        <n v="22050000"/>
        <n v="22000000"/>
        <n v="4860000"/>
        <n v="2700000"/>
        <n v="10000000"/>
        <n v="765000"/>
        <n v="1925000"/>
        <n v="28600000"/>
        <n v="22800000"/>
        <n v="9100000"/>
        <n v="540000"/>
        <n v="6500000"/>
        <n v="2450000"/>
        <n v="2850000"/>
        <n v="106250000"/>
        <n v="620000"/>
        <n v="1750000"/>
        <n v="13650000"/>
        <n v="31950000"/>
        <n v="15200000"/>
        <n v="1800000"/>
        <n v="930000"/>
        <n v="4320000"/>
        <n v="240000"/>
        <n v="135000"/>
        <n v="1960000"/>
        <n v="29900000"/>
        <n v="24500000"/>
        <n v="13440000"/>
        <n v="10780000"/>
        <n v="52500000"/>
        <n v="80500000"/>
        <n v="32900000"/>
        <n v="10200000"/>
        <n v="1445000"/>
        <n v="750000"/>
        <n v="165000000"/>
        <n v="310000"/>
        <n v="36000"/>
        <n v="630000"/>
        <n v="2485000"/>
        <n v="4675000"/>
        <n v="14300000"/>
        <n v="1860000"/>
        <n v="255000"/>
        <n v="7400000"/>
        <n v="6200000"/>
        <n v="4250000"/>
        <n v="10080000"/>
        <n v="5670000"/>
        <n v="17280000"/>
        <n v="48600000"/>
        <n v="8500000"/>
        <n v="1855000"/>
        <n v="1650000"/>
        <n v="82550000"/>
        <n v="24860000"/>
        <n v="585000"/>
        <n v="31500000"/>
        <n v="9750000"/>
        <n v="90000"/>
        <n v="97500000"/>
        <n v="130000000"/>
        <n v="22750000"/>
        <n v="850000"/>
        <n v="375000"/>
        <n v="560000"/>
        <n v="9350000"/>
        <n v="27200000"/>
        <n v="2730000"/>
        <n v="715000"/>
        <n v="1125000"/>
        <n v="6440000"/>
        <n v="71250000"/>
        <n v="550000"/>
        <n v="29750000"/>
        <n v="7000000"/>
        <n v="2340000"/>
        <n v="4410000"/>
        <n v="39840000"/>
        <n v="43090000"/>
        <n v="57200000"/>
        <n v="340000"/>
        <n v="18000000"/>
        <n v="385000"/>
        <n v="92750000"/>
        <n v="840000"/>
        <n v="58500000"/>
        <n v="10540000"/>
        <n v="23870000"/>
        <n v="280000"/>
        <n v="36960000"/>
        <n v="1035000"/>
        <n v="3600000"/>
        <n v="1950000"/>
        <n v="38000000"/>
        <n v="945000"/>
        <n v="17500000"/>
        <n v="8125000"/>
        <n v="11400000"/>
        <n v="19920000"/>
        <n v="5850000"/>
        <n v="8075000"/>
        <n v="3195000"/>
        <n v="3150000"/>
        <n v="1452000"/>
        <n v="26000000"/>
        <n v="330000"/>
        <n v="55000"/>
        <n v="7065000"/>
        <n v="11000000"/>
        <n v="60000"/>
        <n v="6900000"/>
        <n v="5040000"/>
        <n v="3995000"/>
        <n v="4650000"/>
        <n v="2040000"/>
        <n v="2750000"/>
        <n v="2400000"/>
      </sharedItems>
    </cacheField>
    <cacheField name="Lokasi Penyimpanan" numFmtId="0">
      <sharedItems count="5">
        <s v="Gudang B (Dingin)"/>
        <s v="Gudang Utama A"/>
        <s v="Rak Alat C"/>
        <s v="Lemari Flammable"/>
        <s v="Loker APD Sentral"/>
      </sharedItems>
    </cacheField>
    <cacheField name="Status" numFmtId="0">
      <sharedItems count="3">
        <s v="Tersedia"/>
        <s v="Menipis"/>
        <s v="Habis"/>
      </sharedItems>
    </cacheField>
    <cacheField name="PIC" numFmtId="0">
      <sharedItems count="8">
        <s v="Dr. Ahmad Fauzi"/>
        <s v="Dewi Lestari, Ph.D."/>
        <s v="Fajar Nugroho"/>
        <s v="Rina Wijaya"/>
        <s v="Siti Aminah, S.Si."/>
        <s v="Budi Santoso, M.Si."/>
        <s v="Agus Kurniawan"/>
        <s v="Hendra Setiawan"/>
      </sharedItems>
    </cacheField>
  </cacheFields>
  <extLst>
    <ext xmlns:x14="http://schemas.microsoft.com/office/spreadsheetml/2009/9/main" uri="{725AE2AE-9491-48be-B2B4-4EB974FC3084}">
      <x14:pivotCacheDefinition pivotCacheId="19896901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0">
  <r>
    <x v="0"/>
    <x v="0"/>
    <x v="0"/>
    <x v="0"/>
    <x v="0"/>
    <x v="0"/>
    <x v="0"/>
    <n v="100"/>
    <x v="0"/>
    <x v="0"/>
    <x v="0"/>
    <x v="0"/>
    <x v="0"/>
    <x v="0"/>
    <x v="0"/>
  </r>
  <r>
    <x v="1"/>
    <x v="1"/>
    <x v="1"/>
    <x v="1"/>
    <x v="0"/>
    <x v="1"/>
    <x v="1"/>
    <n v="200"/>
    <x v="1"/>
    <x v="1"/>
    <x v="0"/>
    <x v="1"/>
    <x v="1"/>
    <x v="0"/>
    <x v="1"/>
  </r>
  <r>
    <x v="2"/>
    <x v="2"/>
    <x v="1"/>
    <x v="1"/>
    <x v="1"/>
    <x v="2"/>
    <x v="2"/>
    <n v="100"/>
    <x v="2"/>
    <x v="2"/>
    <x v="1"/>
    <x v="2"/>
    <x v="2"/>
    <x v="0"/>
    <x v="2"/>
  </r>
  <r>
    <x v="3"/>
    <x v="3"/>
    <x v="2"/>
    <x v="2"/>
    <x v="0"/>
    <x v="3"/>
    <x v="3"/>
    <n v="2"/>
    <x v="3"/>
    <x v="3"/>
    <x v="2"/>
    <x v="3"/>
    <x v="3"/>
    <x v="1"/>
    <x v="3"/>
  </r>
  <r>
    <x v="4"/>
    <x v="4"/>
    <x v="1"/>
    <x v="1"/>
    <x v="2"/>
    <x v="4"/>
    <x v="4"/>
    <n v="100"/>
    <x v="4"/>
    <x v="4"/>
    <x v="3"/>
    <x v="4"/>
    <x v="2"/>
    <x v="0"/>
    <x v="3"/>
  </r>
  <r>
    <x v="5"/>
    <x v="5"/>
    <x v="0"/>
    <x v="0"/>
    <x v="3"/>
    <x v="5"/>
    <x v="2"/>
    <n v="10"/>
    <x v="2"/>
    <x v="5"/>
    <x v="4"/>
    <x v="5"/>
    <x v="3"/>
    <x v="0"/>
    <x v="3"/>
  </r>
  <r>
    <x v="6"/>
    <x v="6"/>
    <x v="2"/>
    <x v="2"/>
    <x v="4"/>
    <x v="6"/>
    <x v="5"/>
    <n v="5"/>
    <x v="5"/>
    <x v="6"/>
    <x v="5"/>
    <x v="6"/>
    <x v="0"/>
    <x v="1"/>
    <x v="4"/>
  </r>
  <r>
    <x v="7"/>
    <x v="7"/>
    <x v="3"/>
    <x v="3"/>
    <x v="5"/>
    <x v="7"/>
    <x v="2"/>
    <n v="100"/>
    <x v="2"/>
    <x v="2"/>
    <x v="6"/>
    <x v="7"/>
    <x v="3"/>
    <x v="0"/>
    <x v="1"/>
  </r>
  <r>
    <x v="8"/>
    <x v="8"/>
    <x v="2"/>
    <x v="2"/>
    <x v="6"/>
    <x v="8"/>
    <x v="2"/>
    <n v="5"/>
    <x v="2"/>
    <x v="7"/>
    <x v="7"/>
    <x v="8"/>
    <x v="1"/>
    <x v="1"/>
    <x v="5"/>
  </r>
  <r>
    <x v="9"/>
    <x v="9"/>
    <x v="4"/>
    <x v="4"/>
    <x v="3"/>
    <x v="9"/>
    <x v="2"/>
    <n v="100"/>
    <x v="2"/>
    <x v="2"/>
    <x v="8"/>
    <x v="9"/>
    <x v="2"/>
    <x v="0"/>
    <x v="6"/>
  </r>
  <r>
    <x v="10"/>
    <x v="0"/>
    <x v="0"/>
    <x v="0"/>
    <x v="2"/>
    <x v="2"/>
    <x v="6"/>
    <n v="100"/>
    <x v="6"/>
    <x v="8"/>
    <x v="0"/>
    <x v="10"/>
    <x v="1"/>
    <x v="0"/>
    <x v="3"/>
  </r>
  <r>
    <x v="11"/>
    <x v="10"/>
    <x v="5"/>
    <x v="5"/>
    <x v="6"/>
    <x v="10"/>
    <x v="7"/>
    <n v="150"/>
    <x v="7"/>
    <x v="9"/>
    <x v="9"/>
    <x v="11"/>
    <x v="4"/>
    <x v="0"/>
    <x v="7"/>
  </r>
  <r>
    <x v="12"/>
    <x v="11"/>
    <x v="4"/>
    <x v="4"/>
    <x v="3"/>
    <x v="11"/>
    <x v="8"/>
    <n v="50"/>
    <x v="8"/>
    <x v="10"/>
    <x v="10"/>
    <x v="12"/>
    <x v="4"/>
    <x v="0"/>
    <x v="2"/>
  </r>
  <r>
    <x v="13"/>
    <x v="2"/>
    <x v="1"/>
    <x v="1"/>
    <x v="4"/>
    <x v="12"/>
    <x v="9"/>
    <n v="100"/>
    <x v="9"/>
    <x v="11"/>
    <x v="1"/>
    <x v="13"/>
    <x v="1"/>
    <x v="0"/>
    <x v="2"/>
  </r>
  <r>
    <x v="14"/>
    <x v="12"/>
    <x v="3"/>
    <x v="3"/>
    <x v="7"/>
    <x v="13"/>
    <x v="10"/>
    <n v="100"/>
    <x v="10"/>
    <x v="12"/>
    <x v="11"/>
    <x v="14"/>
    <x v="3"/>
    <x v="2"/>
    <x v="6"/>
  </r>
  <r>
    <x v="15"/>
    <x v="13"/>
    <x v="5"/>
    <x v="5"/>
    <x v="8"/>
    <x v="14"/>
    <x v="11"/>
    <n v="200"/>
    <x v="11"/>
    <x v="13"/>
    <x v="12"/>
    <x v="15"/>
    <x v="3"/>
    <x v="0"/>
    <x v="6"/>
  </r>
  <r>
    <x v="16"/>
    <x v="9"/>
    <x v="4"/>
    <x v="4"/>
    <x v="7"/>
    <x v="15"/>
    <x v="12"/>
    <n v="150"/>
    <x v="12"/>
    <x v="14"/>
    <x v="8"/>
    <x v="16"/>
    <x v="0"/>
    <x v="0"/>
    <x v="0"/>
  </r>
  <r>
    <x v="17"/>
    <x v="14"/>
    <x v="3"/>
    <x v="3"/>
    <x v="5"/>
    <x v="16"/>
    <x v="13"/>
    <n v="150"/>
    <x v="13"/>
    <x v="15"/>
    <x v="10"/>
    <x v="17"/>
    <x v="1"/>
    <x v="0"/>
    <x v="7"/>
  </r>
  <r>
    <x v="18"/>
    <x v="8"/>
    <x v="2"/>
    <x v="2"/>
    <x v="0"/>
    <x v="17"/>
    <x v="14"/>
    <n v="2"/>
    <x v="3"/>
    <x v="3"/>
    <x v="7"/>
    <x v="18"/>
    <x v="2"/>
    <x v="1"/>
    <x v="5"/>
  </r>
  <r>
    <x v="0"/>
    <x v="15"/>
    <x v="0"/>
    <x v="0"/>
    <x v="5"/>
    <x v="18"/>
    <x v="0"/>
    <n v="200"/>
    <x v="11"/>
    <x v="13"/>
    <x v="13"/>
    <x v="19"/>
    <x v="2"/>
    <x v="0"/>
    <x v="4"/>
  </r>
  <r>
    <x v="19"/>
    <x v="16"/>
    <x v="5"/>
    <x v="5"/>
    <x v="6"/>
    <x v="19"/>
    <x v="2"/>
    <n v="50"/>
    <x v="2"/>
    <x v="16"/>
    <x v="14"/>
    <x v="20"/>
    <x v="2"/>
    <x v="0"/>
    <x v="3"/>
  </r>
  <r>
    <x v="20"/>
    <x v="17"/>
    <x v="4"/>
    <x v="4"/>
    <x v="1"/>
    <x v="20"/>
    <x v="2"/>
    <n v="20"/>
    <x v="2"/>
    <x v="17"/>
    <x v="15"/>
    <x v="5"/>
    <x v="3"/>
    <x v="0"/>
    <x v="2"/>
  </r>
  <r>
    <x v="21"/>
    <x v="18"/>
    <x v="5"/>
    <x v="5"/>
    <x v="2"/>
    <x v="21"/>
    <x v="15"/>
    <n v="100"/>
    <x v="14"/>
    <x v="18"/>
    <x v="16"/>
    <x v="21"/>
    <x v="2"/>
    <x v="0"/>
    <x v="7"/>
  </r>
  <r>
    <x v="22"/>
    <x v="19"/>
    <x v="2"/>
    <x v="2"/>
    <x v="8"/>
    <x v="2"/>
    <x v="16"/>
    <n v="5"/>
    <x v="15"/>
    <x v="19"/>
    <x v="17"/>
    <x v="22"/>
    <x v="4"/>
    <x v="1"/>
    <x v="6"/>
  </r>
  <r>
    <x v="23"/>
    <x v="19"/>
    <x v="2"/>
    <x v="2"/>
    <x v="0"/>
    <x v="22"/>
    <x v="17"/>
    <n v="5"/>
    <x v="16"/>
    <x v="3"/>
    <x v="17"/>
    <x v="23"/>
    <x v="1"/>
    <x v="1"/>
    <x v="6"/>
  </r>
  <r>
    <x v="24"/>
    <x v="2"/>
    <x v="1"/>
    <x v="1"/>
    <x v="7"/>
    <x v="23"/>
    <x v="18"/>
    <n v="10"/>
    <x v="17"/>
    <x v="20"/>
    <x v="1"/>
    <x v="24"/>
    <x v="4"/>
    <x v="1"/>
    <x v="4"/>
  </r>
  <r>
    <x v="25"/>
    <x v="11"/>
    <x v="4"/>
    <x v="4"/>
    <x v="2"/>
    <x v="24"/>
    <x v="2"/>
    <n v="20"/>
    <x v="2"/>
    <x v="17"/>
    <x v="10"/>
    <x v="25"/>
    <x v="4"/>
    <x v="0"/>
    <x v="7"/>
  </r>
  <r>
    <x v="26"/>
    <x v="20"/>
    <x v="3"/>
    <x v="3"/>
    <x v="5"/>
    <x v="25"/>
    <x v="19"/>
    <n v="150"/>
    <x v="18"/>
    <x v="21"/>
    <x v="18"/>
    <x v="26"/>
    <x v="3"/>
    <x v="0"/>
    <x v="4"/>
  </r>
  <r>
    <x v="27"/>
    <x v="0"/>
    <x v="0"/>
    <x v="0"/>
    <x v="5"/>
    <x v="26"/>
    <x v="20"/>
    <n v="150"/>
    <x v="19"/>
    <x v="7"/>
    <x v="0"/>
    <x v="27"/>
    <x v="4"/>
    <x v="1"/>
    <x v="1"/>
  </r>
  <r>
    <x v="6"/>
    <x v="21"/>
    <x v="2"/>
    <x v="2"/>
    <x v="7"/>
    <x v="27"/>
    <x v="21"/>
    <n v="5"/>
    <x v="5"/>
    <x v="6"/>
    <x v="19"/>
    <x v="28"/>
    <x v="1"/>
    <x v="1"/>
    <x v="0"/>
  </r>
  <r>
    <x v="28"/>
    <x v="1"/>
    <x v="1"/>
    <x v="1"/>
    <x v="2"/>
    <x v="28"/>
    <x v="22"/>
    <n v="150"/>
    <x v="20"/>
    <x v="22"/>
    <x v="0"/>
    <x v="29"/>
    <x v="1"/>
    <x v="0"/>
    <x v="5"/>
  </r>
  <r>
    <x v="29"/>
    <x v="22"/>
    <x v="5"/>
    <x v="5"/>
    <x v="9"/>
    <x v="29"/>
    <x v="23"/>
    <n v="150"/>
    <x v="21"/>
    <x v="23"/>
    <x v="13"/>
    <x v="30"/>
    <x v="3"/>
    <x v="0"/>
    <x v="5"/>
  </r>
  <r>
    <x v="30"/>
    <x v="4"/>
    <x v="1"/>
    <x v="1"/>
    <x v="2"/>
    <x v="30"/>
    <x v="24"/>
    <n v="10"/>
    <x v="15"/>
    <x v="24"/>
    <x v="3"/>
    <x v="31"/>
    <x v="3"/>
    <x v="0"/>
    <x v="6"/>
  </r>
  <r>
    <x v="31"/>
    <x v="23"/>
    <x v="1"/>
    <x v="1"/>
    <x v="1"/>
    <x v="31"/>
    <x v="25"/>
    <n v="10"/>
    <x v="15"/>
    <x v="24"/>
    <x v="20"/>
    <x v="32"/>
    <x v="4"/>
    <x v="0"/>
    <x v="1"/>
  </r>
  <r>
    <x v="32"/>
    <x v="1"/>
    <x v="1"/>
    <x v="1"/>
    <x v="3"/>
    <x v="32"/>
    <x v="26"/>
    <n v="20"/>
    <x v="5"/>
    <x v="10"/>
    <x v="0"/>
    <x v="33"/>
    <x v="4"/>
    <x v="0"/>
    <x v="4"/>
  </r>
  <r>
    <x v="33"/>
    <x v="24"/>
    <x v="0"/>
    <x v="0"/>
    <x v="2"/>
    <x v="33"/>
    <x v="27"/>
    <n v="20"/>
    <x v="22"/>
    <x v="7"/>
    <x v="3"/>
    <x v="34"/>
    <x v="3"/>
    <x v="1"/>
    <x v="3"/>
  </r>
  <r>
    <x v="34"/>
    <x v="21"/>
    <x v="2"/>
    <x v="2"/>
    <x v="3"/>
    <x v="34"/>
    <x v="28"/>
    <n v="10"/>
    <x v="5"/>
    <x v="25"/>
    <x v="19"/>
    <x v="35"/>
    <x v="0"/>
    <x v="0"/>
    <x v="2"/>
  </r>
  <r>
    <x v="14"/>
    <x v="12"/>
    <x v="3"/>
    <x v="3"/>
    <x v="1"/>
    <x v="35"/>
    <x v="29"/>
    <n v="200"/>
    <x v="23"/>
    <x v="26"/>
    <x v="11"/>
    <x v="36"/>
    <x v="2"/>
    <x v="0"/>
    <x v="7"/>
  </r>
  <r>
    <x v="35"/>
    <x v="24"/>
    <x v="0"/>
    <x v="0"/>
    <x v="5"/>
    <x v="36"/>
    <x v="30"/>
    <n v="20"/>
    <x v="24"/>
    <x v="24"/>
    <x v="3"/>
    <x v="31"/>
    <x v="1"/>
    <x v="0"/>
    <x v="7"/>
  </r>
  <r>
    <x v="36"/>
    <x v="1"/>
    <x v="1"/>
    <x v="1"/>
    <x v="0"/>
    <x v="37"/>
    <x v="2"/>
    <n v="150"/>
    <x v="2"/>
    <x v="27"/>
    <x v="0"/>
    <x v="37"/>
    <x v="4"/>
    <x v="0"/>
    <x v="4"/>
  </r>
  <r>
    <x v="37"/>
    <x v="21"/>
    <x v="2"/>
    <x v="2"/>
    <x v="7"/>
    <x v="37"/>
    <x v="31"/>
    <n v="2"/>
    <x v="5"/>
    <x v="12"/>
    <x v="19"/>
    <x v="14"/>
    <x v="1"/>
    <x v="2"/>
    <x v="0"/>
  </r>
  <r>
    <x v="2"/>
    <x v="1"/>
    <x v="1"/>
    <x v="1"/>
    <x v="2"/>
    <x v="38"/>
    <x v="2"/>
    <n v="20"/>
    <x v="2"/>
    <x v="17"/>
    <x v="0"/>
    <x v="38"/>
    <x v="0"/>
    <x v="0"/>
    <x v="6"/>
  </r>
  <r>
    <x v="38"/>
    <x v="23"/>
    <x v="1"/>
    <x v="1"/>
    <x v="1"/>
    <x v="39"/>
    <x v="2"/>
    <n v="20"/>
    <x v="2"/>
    <x v="17"/>
    <x v="20"/>
    <x v="39"/>
    <x v="4"/>
    <x v="0"/>
    <x v="2"/>
  </r>
  <r>
    <x v="39"/>
    <x v="25"/>
    <x v="3"/>
    <x v="3"/>
    <x v="3"/>
    <x v="40"/>
    <x v="32"/>
    <n v="10"/>
    <x v="15"/>
    <x v="24"/>
    <x v="21"/>
    <x v="40"/>
    <x v="3"/>
    <x v="0"/>
    <x v="4"/>
  </r>
  <r>
    <x v="40"/>
    <x v="18"/>
    <x v="5"/>
    <x v="5"/>
    <x v="3"/>
    <x v="41"/>
    <x v="33"/>
    <n v="100"/>
    <x v="25"/>
    <x v="28"/>
    <x v="16"/>
    <x v="41"/>
    <x v="3"/>
    <x v="0"/>
    <x v="0"/>
  </r>
  <r>
    <x v="41"/>
    <x v="16"/>
    <x v="5"/>
    <x v="5"/>
    <x v="2"/>
    <x v="42"/>
    <x v="2"/>
    <n v="50"/>
    <x v="2"/>
    <x v="16"/>
    <x v="14"/>
    <x v="20"/>
    <x v="0"/>
    <x v="0"/>
    <x v="4"/>
  </r>
  <r>
    <x v="42"/>
    <x v="18"/>
    <x v="5"/>
    <x v="5"/>
    <x v="8"/>
    <x v="43"/>
    <x v="34"/>
    <n v="20"/>
    <x v="26"/>
    <x v="19"/>
    <x v="16"/>
    <x v="42"/>
    <x v="4"/>
    <x v="1"/>
    <x v="4"/>
  </r>
  <r>
    <x v="43"/>
    <x v="6"/>
    <x v="2"/>
    <x v="2"/>
    <x v="9"/>
    <x v="44"/>
    <x v="35"/>
    <n v="2"/>
    <x v="3"/>
    <x v="3"/>
    <x v="5"/>
    <x v="43"/>
    <x v="4"/>
    <x v="1"/>
    <x v="7"/>
  </r>
  <r>
    <x v="44"/>
    <x v="12"/>
    <x v="3"/>
    <x v="3"/>
    <x v="9"/>
    <x v="23"/>
    <x v="36"/>
    <n v="200"/>
    <x v="27"/>
    <x v="29"/>
    <x v="11"/>
    <x v="44"/>
    <x v="0"/>
    <x v="0"/>
    <x v="3"/>
  </r>
  <r>
    <x v="45"/>
    <x v="14"/>
    <x v="3"/>
    <x v="3"/>
    <x v="4"/>
    <x v="18"/>
    <x v="2"/>
    <n v="100"/>
    <x v="2"/>
    <x v="2"/>
    <x v="10"/>
    <x v="45"/>
    <x v="2"/>
    <x v="0"/>
    <x v="6"/>
  </r>
  <r>
    <x v="46"/>
    <x v="9"/>
    <x v="4"/>
    <x v="4"/>
    <x v="1"/>
    <x v="45"/>
    <x v="37"/>
    <n v="200"/>
    <x v="28"/>
    <x v="19"/>
    <x v="8"/>
    <x v="46"/>
    <x v="3"/>
    <x v="1"/>
    <x v="5"/>
  </r>
  <r>
    <x v="18"/>
    <x v="6"/>
    <x v="2"/>
    <x v="2"/>
    <x v="0"/>
    <x v="46"/>
    <x v="2"/>
    <n v="5"/>
    <x v="2"/>
    <x v="7"/>
    <x v="5"/>
    <x v="47"/>
    <x v="1"/>
    <x v="1"/>
    <x v="5"/>
  </r>
  <r>
    <x v="47"/>
    <x v="26"/>
    <x v="4"/>
    <x v="4"/>
    <x v="0"/>
    <x v="47"/>
    <x v="2"/>
    <n v="100"/>
    <x v="2"/>
    <x v="2"/>
    <x v="0"/>
    <x v="3"/>
    <x v="4"/>
    <x v="0"/>
    <x v="1"/>
  </r>
  <r>
    <x v="11"/>
    <x v="26"/>
    <x v="4"/>
    <x v="4"/>
    <x v="2"/>
    <x v="48"/>
    <x v="38"/>
    <n v="10"/>
    <x v="4"/>
    <x v="3"/>
    <x v="0"/>
    <x v="48"/>
    <x v="1"/>
    <x v="1"/>
    <x v="5"/>
  </r>
  <r>
    <x v="48"/>
    <x v="7"/>
    <x v="3"/>
    <x v="3"/>
    <x v="4"/>
    <x v="49"/>
    <x v="39"/>
    <n v="10"/>
    <x v="9"/>
    <x v="6"/>
    <x v="6"/>
    <x v="49"/>
    <x v="0"/>
    <x v="1"/>
    <x v="0"/>
  </r>
  <r>
    <x v="49"/>
    <x v="11"/>
    <x v="4"/>
    <x v="4"/>
    <x v="4"/>
    <x v="50"/>
    <x v="40"/>
    <n v="100"/>
    <x v="20"/>
    <x v="30"/>
    <x v="10"/>
    <x v="50"/>
    <x v="1"/>
    <x v="0"/>
    <x v="4"/>
  </r>
  <r>
    <x v="50"/>
    <x v="27"/>
    <x v="1"/>
    <x v="1"/>
    <x v="6"/>
    <x v="51"/>
    <x v="2"/>
    <n v="100"/>
    <x v="2"/>
    <x v="2"/>
    <x v="22"/>
    <x v="51"/>
    <x v="0"/>
    <x v="0"/>
    <x v="3"/>
  </r>
  <r>
    <x v="51"/>
    <x v="24"/>
    <x v="0"/>
    <x v="0"/>
    <x v="1"/>
    <x v="28"/>
    <x v="41"/>
    <n v="200"/>
    <x v="29"/>
    <x v="31"/>
    <x v="3"/>
    <x v="52"/>
    <x v="1"/>
    <x v="0"/>
    <x v="3"/>
  </r>
  <r>
    <x v="33"/>
    <x v="15"/>
    <x v="0"/>
    <x v="0"/>
    <x v="1"/>
    <x v="52"/>
    <x v="19"/>
    <n v="10"/>
    <x v="15"/>
    <x v="24"/>
    <x v="13"/>
    <x v="53"/>
    <x v="1"/>
    <x v="0"/>
    <x v="6"/>
  </r>
  <r>
    <x v="52"/>
    <x v="10"/>
    <x v="5"/>
    <x v="5"/>
    <x v="2"/>
    <x v="53"/>
    <x v="2"/>
    <n v="20"/>
    <x v="2"/>
    <x v="17"/>
    <x v="9"/>
    <x v="54"/>
    <x v="4"/>
    <x v="0"/>
    <x v="7"/>
  </r>
  <r>
    <x v="53"/>
    <x v="13"/>
    <x v="5"/>
    <x v="5"/>
    <x v="9"/>
    <x v="54"/>
    <x v="42"/>
    <n v="200"/>
    <x v="24"/>
    <x v="32"/>
    <x v="12"/>
    <x v="55"/>
    <x v="2"/>
    <x v="0"/>
    <x v="1"/>
  </r>
  <r>
    <x v="54"/>
    <x v="26"/>
    <x v="4"/>
    <x v="4"/>
    <x v="3"/>
    <x v="55"/>
    <x v="2"/>
    <n v="10"/>
    <x v="2"/>
    <x v="5"/>
    <x v="0"/>
    <x v="56"/>
    <x v="3"/>
    <x v="0"/>
    <x v="4"/>
  </r>
  <r>
    <x v="55"/>
    <x v="1"/>
    <x v="1"/>
    <x v="1"/>
    <x v="6"/>
    <x v="56"/>
    <x v="43"/>
    <n v="200"/>
    <x v="30"/>
    <x v="33"/>
    <x v="0"/>
    <x v="57"/>
    <x v="1"/>
    <x v="0"/>
    <x v="4"/>
  </r>
  <r>
    <x v="56"/>
    <x v="7"/>
    <x v="3"/>
    <x v="3"/>
    <x v="1"/>
    <x v="57"/>
    <x v="44"/>
    <n v="10"/>
    <x v="31"/>
    <x v="19"/>
    <x v="6"/>
    <x v="58"/>
    <x v="0"/>
    <x v="1"/>
    <x v="6"/>
  </r>
  <r>
    <x v="57"/>
    <x v="24"/>
    <x v="0"/>
    <x v="0"/>
    <x v="1"/>
    <x v="45"/>
    <x v="45"/>
    <n v="20"/>
    <x v="31"/>
    <x v="34"/>
    <x v="3"/>
    <x v="59"/>
    <x v="4"/>
    <x v="0"/>
    <x v="7"/>
  </r>
  <r>
    <x v="58"/>
    <x v="22"/>
    <x v="5"/>
    <x v="5"/>
    <x v="1"/>
    <x v="58"/>
    <x v="46"/>
    <n v="150"/>
    <x v="32"/>
    <x v="35"/>
    <x v="13"/>
    <x v="60"/>
    <x v="4"/>
    <x v="0"/>
    <x v="7"/>
  </r>
  <r>
    <x v="59"/>
    <x v="19"/>
    <x v="2"/>
    <x v="2"/>
    <x v="3"/>
    <x v="59"/>
    <x v="47"/>
    <n v="2"/>
    <x v="3"/>
    <x v="3"/>
    <x v="17"/>
    <x v="23"/>
    <x v="0"/>
    <x v="1"/>
    <x v="3"/>
  </r>
  <r>
    <x v="60"/>
    <x v="0"/>
    <x v="0"/>
    <x v="0"/>
    <x v="3"/>
    <x v="60"/>
    <x v="2"/>
    <n v="20"/>
    <x v="2"/>
    <x v="17"/>
    <x v="0"/>
    <x v="38"/>
    <x v="2"/>
    <x v="0"/>
    <x v="2"/>
  </r>
  <r>
    <x v="61"/>
    <x v="13"/>
    <x v="5"/>
    <x v="5"/>
    <x v="6"/>
    <x v="61"/>
    <x v="39"/>
    <n v="20"/>
    <x v="22"/>
    <x v="7"/>
    <x v="12"/>
    <x v="61"/>
    <x v="1"/>
    <x v="1"/>
    <x v="3"/>
  </r>
  <r>
    <x v="24"/>
    <x v="21"/>
    <x v="2"/>
    <x v="2"/>
    <x v="2"/>
    <x v="51"/>
    <x v="2"/>
    <n v="2"/>
    <x v="2"/>
    <x v="19"/>
    <x v="19"/>
    <x v="62"/>
    <x v="1"/>
    <x v="1"/>
    <x v="7"/>
  </r>
  <r>
    <x v="62"/>
    <x v="9"/>
    <x v="4"/>
    <x v="4"/>
    <x v="6"/>
    <x v="62"/>
    <x v="48"/>
    <n v="50"/>
    <x v="33"/>
    <x v="12"/>
    <x v="8"/>
    <x v="14"/>
    <x v="2"/>
    <x v="2"/>
    <x v="6"/>
  </r>
  <r>
    <x v="63"/>
    <x v="26"/>
    <x v="4"/>
    <x v="4"/>
    <x v="8"/>
    <x v="63"/>
    <x v="49"/>
    <n v="100"/>
    <x v="34"/>
    <x v="25"/>
    <x v="0"/>
    <x v="63"/>
    <x v="1"/>
    <x v="0"/>
    <x v="2"/>
  </r>
  <r>
    <x v="64"/>
    <x v="16"/>
    <x v="5"/>
    <x v="5"/>
    <x v="2"/>
    <x v="64"/>
    <x v="21"/>
    <n v="20"/>
    <x v="35"/>
    <x v="36"/>
    <x v="14"/>
    <x v="64"/>
    <x v="0"/>
    <x v="0"/>
    <x v="4"/>
  </r>
  <r>
    <x v="65"/>
    <x v="1"/>
    <x v="1"/>
    <x v="1"/>
    <x v="7"/>
    <x v="65"/>
    <x v="50"/>
    <n v="20"/>
    <x v="1"/>
    <x v="25"/>
    <x v="0"/>
    <x v="63"/>
    <x v="1"/>
    <x v="0"/>
    <x v="2"/>
  </r>
  <r>
    <x v="66"/>
    <x v="7"/>
    <x v="3"/>
    <x v="3"/>
    <x v="5"/>
    <x v="66"/>
    <x v="51"/>
    <n v="150"/>
    <x v="36"/>
    <x v="37"/>
    <x v="6"/>
    <x v="65"/>
    <x v="3"/>
    <x v="0"/>
    <x v="4"/>
  </r>
  <r>
    <x v="67"/>
    <x v="20"/>
    <x v="3"/>
    <x v="3"/>
    <x v="4"/>
    <x v="67"/>
    <x v="52"/>
    <n v="100"/>
    <x v="37"/>
    <x v="36"/>
    <x v="18"/>
    <x v="66"/>
    <x v="0"/>
    <x v="0"/>
    <x v="3"/>
  </r>
  <r>
    <x v="68"/>
    <x v="27"/>
    <x v="1"/>
    <x v="1"/>
    <x v="5"/>
    <x v="26"/>
    <x v="53"/>
    <n v="20"/>
    <x v="1"/>
    <x v="25"/>
    <x v="22"/>
    <x v="67"/>
    <x v="3"/>
    <x v="0"/>
    <x v="2"/>
  </r>
  <r>
    <x v="69"/>
    <x v="9"/>
    <x v="4"/>
    <x v="4"/>
    <x v="5"/>
    <x v="24"/>
    <x v="2"/>
    <n v="20"/>
    <x v="2"/>
    <x v="17"/>
    <x v="8"/>
    <x v="68"/>
    <x v="4"/>
    <x v="0"/>
    <x v="0"/>
  </r>
  <r>
    <x v="70"/>
    <x v="22"/>
    <x v="5"/>
    <x v="5"/>
    <x v="7"/>
    <x v="9"/>
    <x v="54"/>
    <n v="50"/>
    <x v="38"/>
    <x v="34"/>
    <x v="13"/>
    <x v="69"/>
    <x v="4"/>
    <x v="0"/>
    <x v="3"/>
  </r>
  <r>
    <x v="64"/>
    <x v="9"/>
    <x v="4"/>
    <x v="4"/>
    <x v="5"/>
    <x v="18"/>
    <x v="2"/>
    <n v="150"/>
    <x v="2"/>
    <x v="27"/>
    <x v="8"/>
    <x v="70"/>
    <x v="3"/>
    <x v="0"/>
    <x v="2"/>
  </r>
  <r>
    <x v="71"/>
    <x v="0"/>
    <x v="0"/>
    <x v="0"/>
    <x v="9"/>
    <x v="68"/>
    <x v="55"/>
    <n v="20"/>
    <x v="35"/>
    <x v="36"/>
    <x v="0"/>
    <x v="71"/>
    <x v="1"/>
    <x v="0"/>
    <x v="4"/>
  </r>
  <r>
    <x v="72"/>
    <x v="6"/>
    <x v="2"/>
    <x v="2"/>
    <x v="3"/>
    <x v="69"/>
    <x v="2"/>
    <n v="10"/>
    <x v="2"/>
    <x v="5"/>
    <x v="5"/>
    <x v="72"/>
    <x v="4"/>
    <x v="0"/>
    <x v="1"/>
  </r>
  <r>
    <x v="73"/>
    <x v="7"/>
    <x v="3"/>
    <x v="3"/>
    <x v="4"/>
    <x v="70"/>
    <x v="2"/>
    <n v="10"/>
    <x v="2"/>
    <x v="5"/>
    <x v="6"/>
    <x v="42"/>
    <x v="4"/>
    <x v="0"/>
    <x v="2"/>
  </r>
  <r>
    <x v="74"/>
    <x v="27"/>
    <x v="1"/>
    <x v="1"/>
    <x v="0"/>
    <x v="65"/>
    <x v="24"/>
    <n v="10"/>
    <x v="39"/>
    <x v="7"/>
    <x v="22"/>
    <x v="73"/>
    <x v="1"/>
    <x v="1"/>
    <x v="6"/>
  </r>
  <r>
    <x v="13"/>
    <x v="1"/>
    <x v="1"/>
    <x v="1"/>
    <x v="6"/>
    <x v="49"/>
    <x v="56"/>
    <n v="100"/>
    <x v="40"/>
    <x v="38"/>
    <x v="0"/>
    <x v="74"/>
    <x v="1"/>
    <x v="0"/>
    <x v="0"/>
  </r>
  <r>
    <x v="75"/>
    <x v="5"/>
    <x v="0"/>
    <x v="0"/>
    <x v="7"/>
    <x v="71"/>
    <x v="57"/>
    <n v="20"/>
    <x v="35"/>
    <x v="36"/>
    <x v="4"/>
    <x v="75"/>
    <x v="2"/>
    <x v="0"/>
    <x v="1"/>
  </r>
  <r>
    <x v="76"/>
    <x v="14"/>
    <x v="3"/>
    <x v="3"/>
    <x v="8"/>
    <x v="72"/>
    <x v="49"/>
    <n v="50"/>
    <x v="6"/>
    <x v="39"/>
    <x v="10"/>
    <x v="76"/>
    <x v="4"/>
    <x v="0"/>
    <x v="1"/>
  </r>
  <r>
    <x v="77"/>
    <x v="16"/>
    <x v="5"/>
    <x v="5"/>
    <x v="8"/>
    <x v="47"/>
    <x v="2"/>
    <n v="150"/>
    <x v="2"/>
    <x v="27"/>
    <x v="14"/>
    <x v="77"/>
    <x v="0"/>
    <x v="0"/>
    <x v="4"/>
  </r>
  <r>
    <x v="78"/>
    <x v="7"/>
    <x v="3"/>
    <x v="3"/>
    <x v="2"/>
    <x v="73"/>
    <x v="58"/>
    <n v="50"/>
    <x v="41"/>
    <x v="40"/>
    <x v="6"/>
    <x v="78"/>
    <x v="2"/>
    <x v="0"/>
    <x v="2"/>
  </r>
  <r>
    <x v="79"/>
    <x v="9"/>
    <x v="4"/>
    <x v="4"/>
    <x v="9"/>
    <x v="28"/>
    <x v="2"/>
    <n v="150"/>
    <x v="2"/>
    <x v="27"/>
    <x v="8"/>
    <x v="70"/>
    <x v="4"/>
    <x v="0"/>
    <x v="5"/>
  </r>
  <r>
    <x v="80"/>
    <x v="5"/>
    <x v="0"/>
    <x v="0"/>
    <x v="0"/>
    <x v="74"/>
    <x v="2"/>
    <n v="10"/>
    <x v="2"/>
    <x v="5"/>
    <x v="4"/>
    <x v="5"/>
    <x v="2"/>
    <x v="0"/>
    <x v="1"/>
  </r>
  <r>
    <x v="81"/>
    <x v="21"/>
    <x v="2"/>
    <x v="2"/>
    <x v="4"/>
    <x v="75"/>
    <x v="59"/>
    <n v="2"/>
    <x v="5"/>
    <x v="12"/>
    <x v="19"/>
    <x v="14"/>
    <x v="3"/>
    <x v="2"/>
    <x v="3"/>
  </r>
  <r>
    <x v="79"/>
    <x v="26"/>
    <x v="4"/>
    <x v="4"/>
    <x v="6"/>
    <x v="76"/>
    <x v="15"/>
    <n v="150"/>
    <x v="42"/>
    <x v="41"/>
    <x v="0"/>
    <x v="79"/>
    <x v="2"/>
    <x v="0"/>
    <x v="2"/>
  </r>
  <r>
    <x v="82"/>
    <x v="16"/>
    <x v="5"/>
    <x v="5"/>
    <x v="6"/>
    <x v="59"/>
    <x v="60"/>
    <n v="50"/>
    <x v="38"/>
    <x v="34"/>
    <x v="14"/>
    <x v="80"/>
    <x v="1"/>
    <x v="0"/>
    <x v="6"/>
  </r>
  <r>
    <x v="83"/>
    <x v="10"/>
    <x v="5"/>
    <x v="5"/>
    <x v="1"/>
    <x v="77"/>
    <x v="61"/>
    <n v="10"/>
    <x v="5"/>
    <x v="25"/>
    <x v="9"/>
    <x v="81"/>
    <x v="2"/>
    <x v="0"/>
    <x v="2"/>
  </r>
  <r>
    <x v="74"/>
    <x v="19"/>
    <x v="2"/>
    <x v="2"/>
    <x v="3"/>
    <x v="78"/>
    <x v="62"/>
    <n v="5"/>
    <x v="15"/>
    <x v="19"/>
    <x v="17"/>
    <x v="22"/>
    <x v="1"/>
    <x v="1"/>
    <x v="5"/>
  </r>
  <r>
    <x v="84"/>
    <x v="2"/>
    <x v="1"/>
    <x v="1"/>
    <x v="4"/>
    <x v="79"/>
    <x v="63"/>
    <n v="50"/>
    <x v="24"/>
    <x v="21"/>
    <x v="1"/>
    <x v="82"/>
    <x v="2"/>
    <x v="0"/>
    <x v="5"/>
  </r>
  <r>
    <x v="85"/>
    <x v="20"/>
    <x v="3"/>
    <x v="3"/>
    <x v="0"/>
    <x v="80"/>
    <x v="64"/>
    <n v="50"/>
    <x v="43"/>
    <x v="0"/>
    <x v="18"/>
    <x v="83"/>
    <x v="1"/>
    <x v="0"/>
    <x v="5"/>
  </r>
  <r>
    <x v="86"/>
    <x v="12"/>
    <x v="3"/>
    <x v="3"/>
    <x v="8"/>
    <x v="81"/>
    <x v="2"/>
    <n v="20"/>
    <x v="2"/>
    <x v="17"/>
    <x v="11"/>
    <x v="84"/>
    <x v="1"/>
    <x v="0"/>
    <x v="7"/>
  </r>
  <r>
    <x v="87"/>
    <x v="17"/>
    <x v="4"/>
    <x v="4"/>
    <x v="1"/>
    <x v="82"/>
    <x v="4"/>
    <n v="200"/>
    <x v="39"/>
    <x v="42"/>
    <x v="15"/>
    <x v="85"/>
    <x v="4"/>
    <x v="0"/>
    <x v="2"/>
  </r>
  <r>
    <x v="57"/>
    <x v="15"/>
    <x v="0"/>
    <x v="0"/>
    <x v="8"/>
    <x v="83"/>
    <x v="57"/>
    <n v="150"/>
    <x v="44"/>
    <x v="43"/>
    <x v="13"/>
    <x v="86"/>
    <x v="0"/>
    <x v="0"/>
    <x v="2"/>
  </r>
  <r>
    <x v="50"/>
    <x v="4"/>
    <x v="1"/>
    <x v="1"/>
    <x v="5"/>
    <x v="84"/>
    <x v="8"/>
    <n v="10"/>
    <x v="3"/>
    <x v="36"/>
    <x v="3"/>
    <x v="87"/>
    <x v="4"/>
    <x v="0"/>
    <x v="1"/>
  </r>
  <r>
    <x v="88"/>
    <x v="1"/>
    <x v="1"/>
    <x v="1"/>
    <x v="5"/>
    <x v="85"/>
    <x v="65"/>
    <n v="100"/>
    <x v="31"/>
    <x v="44"/>
    <x v="0"/>
    <x v="88"/>
    <x v="0"/>
    <x v="0"/>
    <x v="7"/>
  </r>
  <r>
    <x v="89"/>
    <x v="13"/>
    <x v="5"/>
    <x v="5"/>
    <x v="9"/>
    <x v="86"/>
    <x v="66"/>
    <n v="150"/>
    <x v="45"/>
    <x v="45"/>
    <x v="12"/>
    <x v="89"/>
    <x v="0"/>
    <x v="0"/>
    <x v="3"/>
  </r>
  <r>
    <x v="1"/>
    <x v="8"/>
    <x v="2"/>
    <x v="2"/>
    <x v="7"/>
    <x v="87"/>
    <x v="2"/>
    <n v="5"/>
    <x v="2"/>
    <x v="7"/>
    <x v="7"/>
    <x v="8"/>
    <x v="3"/>
    <x v="1"/>
    <x v="6"/>
  </r>
  <r>
    <x v="90"/>
    <x v="9"/>
    <x v="4"/>
    <x v="4"/>
    <x v="0"/>
    <x v="88"/>
    <x v="2"/>
    <n v="50"/>
    <x v="2"/>
    <x v="16"/>
    <x v="8"/>
    <x v="90"/>
    <x v="1"/>
    <x v="0"/>
    <x v="7"/>
  </r>
  <r>
    <x v="91"/>
    <x v="25"/>
    <x v="3"/>
    <x v="3"/>
    <x v="6"/>
    <x v="89"/>
    <x v="67"/>
    <n v="200"/>
    <x v="46"/>
    <x v="46"/>
    <x v="21"/>
    <x v="91"/>
    <x v="1"/>
    <x v="0"/>
    <x v="2"/>
  </r>
  <r>
    <x v="92"/>
    <x v="23"/>
    <x v="1"/>
    <x v="1"/>
    <x v="5"/>
    <x v="90"/>
    <x v="68"/>
    <n v="50"/>
    <x v="15"/>
    <x v="47"/>
    <x v="20"/>
    <x v="92"/>
    <x v="1"/>
    <x v="0"/>
    <x v="2"/>
  </r>
  <r>
    <x v="36"/>
    <x v="3"/>
    <x v="2"/>
    <x v="2"/>
    <x v="7"/>
    <x v="91"/>
    <x v="69"/>
    <n v="2"/>
    <x v="3"/>
    <x v="3"/>
    <x v="2"/>
    <x v="3"/>
    <x v="3"/>
    <x v="1"/>
    <x v="7"/>
  </r>
  <r>
    <x v="93"/>
    <x v="2"/>
    <x v="1"/>
    <x v="1"/>
    <x v="1"/>
    <x v="92"/>
    <x v="2"/>
    <n v="10"/>
    <x v="2"/>
    <x v="5"/>
    <x v="1"/>
    <x v="93"/>
    <x v="2"/>
    <x v="0"/>
    <x v="1"/>
  </r>
  <r>
    <x v="94"/>
    <x v="24"/>
    <x v="0"/>
    <x v="0"/>
    <x v="2"/>
    <x v="93"/>
    <x v="2"/>
    <n v="100"/>
    <x v="2"/>
    <x v="2"/>
    <x v="3"/>
    <x v="42"/>
    <x v="0"/>
    <x v="0"/>
    <x v="5"/>
  </r>
  <r>
    <x v="95"/>
    <x v="8"/>
    <x v="2"/>
    <x v="2"/>
    <x v="9"/>
    <x v="94"/>
    <x v="70"/>
    <n v="2"/>
    <x v="5"/>
    <x v="12"/>
    <x v="7"/>
    <x v="14"/>
    <x v="1"/>
    <x v="2"/>
    <x v="7"/>
  </r>
  <r>
    <x v="96"/>
    <x v="2"/>
    <x v="1"/>
    <x v="1"/>
    <x v="8"/>
    <x v="28"/>
    <x v="71"/>
    <n v="10"/>
    <x v="4"/>
    <x v="3"/>
    <x v="1"/>
    <x v="94"/>
    <x v="2"/>
    <x v="1"/>
    <x v="3"/>
  </r>
  <r>
    <x v="97"/>
    <x v="11"/>
    <x v="4"/>
    <x v="4"/>
    <x v="6"/>
    <x v="58"/>
    <x v="72"/>
    <n v="50"/>
    <x v="7"/>
    <x v="24"/>
    <x v="10"/>
    <x v="95"/>
    <x v="4"/>
    <x v="0"/>
    <x v="2"/>
  </r>
  <r>
    <x v="2"/>
    <x v="8"/>
    <x v="2"/>
    <x v="2"/>
    <x v="2"/>
    <x v="95"/>
    <x v="2"/>
    <n v="2"/>
    <x v="2"/>
    <x v="19"/>
    <x v="7"/>
    <x v="96"/>
    <x v="3"/>
    <x v="1"/>
    <x v="7"/>
  </r>
  <r>
    <x v="98"/>
    <x v="5"/>
    <x v="0"/>
    <x v="0"/>
    <x v="8"/>
    <x v="96"/>
    <x v="73"/>
    <n v="10"/>
    <x v="16"/>
    <x v="40"/>
    <x v="4"/>
    <x v="38"/>
    <x v="4"/>
    <x v="0"/>
    <x v="3"/>
  </r>
  <r>
    <x v="99"/>
    <x v="9"/>
    <x v="4"/>
    <x v="4"/>
    <x v="9"/>
    <x v="97"/>
    <x v="74"/>
    <n v="10"/>
    <x v="47"/>
    <x v="12"/>
    <x v="8"/>
    <x v="14"/>
    <x v="2"/>
    <x v="2"/>
    <x v="4"/>
  </r>
  <r>
    <x v="100"/>
    <x v="25"/>
    <x v="3"/>
    <x v="3"/>
    <x v="1"/>
    <x v="80"/>
    <x v="75"/>
    <n v="200"/>
    <x v="48"/>
    <x v="48"/>
    <x v="21"/>
    <x v="97"/>
    <x v="1"/>
    <x v="0"/>
    <x v="3"/>
  </r>
  <r>
    <x v="101"/>
    <x v="25"/>
    <x v="3"/>
    <x v="3"/>
    <x v="4"/>
    <x v="98"/>
    <x v="76"/>
    <n v="200"/>
    <x v="49"/>
    <x v="20"/>
    <x v="21"/>
    <x v="98"/>
    <x v="4"/>
    <x v="1"/>
    <x v="3"/>
  </r>
  <r>
    <x v="102"/>
    <x v="13"/>
    <x v="5"/>
    <x v="5"/>
    <x v="2"/>
    <x v="99"/>
    <x v="77"/>
    <n v="20"/>
    <x v="39"/>
    <x v="49"/>
    <x v="12"/>
    <x v="99"/>
    <x v="2"/>
    <x v="0"/>
    <x v="4"/>
  </r>
  <r>
    <x v="69"/>
    <x v="26"/>
    <x v="4"/>
    <x v="4"/>
    <x v="8"/>
    <x v="66"/>
    <x v="2"/>
    <n v="100"/>
    <x v="2"/>
    <x v="2"/>
    <x v="0"/>
    <x v="3"/>
    <x v="3"/>
    <x v="0"/>
    <x v="3"/>
  </r>
  <r>
    <x v="103"/>
    <x v="8"/>
    <x v="2"/>
    <x v="2"/>
    <x v="2"/>
    <x v="100"/>
    <x v="78"/>
    <n v="10"/>
    <x v="4"/>
    <x v="3"/>
    <x v="7"/>
    <x v="18"/>
    <x v="4"/>
    <x v="1"/>
    <x v="5"/>
  </r>
  <r>
    <x v="41"/>
    <x v="10"/>
    <x v="5"/>
    <x v="5"/>
    <x v="1"/>
    <x v="101"/>
    <x v="79"/>
    <n v="20"/>
    <x v="16"/>
    <x v="0"/>
    <x v="9"/>
    <x v="100"/>
    <x v="2"/>
    <x v="0"/>
    <x v="4"/>
  </r>
  <r>
    <x v="104"/>
    <x v="15"/>
    <x v="0"/>
    <x v="0"/>
    <x v="5"/>
    <x v="102"/>
    <x v="80"/>
    <n v="200"/>
    <x v="50"/>
    <x v="38"/>
    <x v="13"/>
    <x v="101"/>
    <x v="1"/>
    <x v="0"/>
    <x v="4"/>
  </r>
  <r>
    <x v="105"/>
    <x v="17"/>
    <x v="4"/>
    <x v="4"/>
    <x v="4"/>
    <x v="23"/>
    <x v="81"/>
    <n v="10"/>
    <x v="9"/>
    <x v="6"/>
    <x v="15"/>
    <x v="27"/>
    <x v="3"/>
    <x v="1"/>
    <x v="5"/>
  </r>
  <r>
    <x v="106"/>
    <x v="19"/>
    <x v="2"/>
    <x v="2"/>
    <x v="6"/>
    <x v="103"/>
    <x v="82"/>
    <n v="2"/>
    <x v="3"/>
    <x v="3"/>
    <x v="17"/>
    <x v="23"/>
    <x v="1"/>
    <x v="1"/>
    <x v="2"/>
  </r>
  <r>
    <x v="107"/>
    <x v="20"/>
    <x v="3"/>
    <x v="3"/>
    <x v="7"/>
    <x v="104"/>
    <x v="83"/>
    <n v="150"/>
    <x v="51"/>
    <x v="50"/>
    <x v="18"/>
    <x v="102"/>
    <x v="2"/>
    <x v="0"/>
    <x v="7"/>
  </r>
  <r>
    <x v="108"/>
    <x v="20"/>
    <x v="3"/>
    <x v="3"/>
    <x v="7"/>
    <x v="104"/>
    <x v="83"/>
    <n v="100"/>
    <x v="52"/>
    <x v="51"/>
    <x v="18"/>
    <x v="103"/>
    <x v="3"/>
    <x v="0"/>
    <x v="3"/>
  </r>
  <r>
    <x v="109"/>
    <x v="13"/>
    <x v="5"/>
    <x v="5"/>
    <x v="2"/>
    <x v="105"/>
    <x v="2"/>
    <n v="100"/>
    <x v="2"/>
    <x v="2"/>
    <x v="12"/>
    <x v="104"/>
    <x v="2"/>
    <x v="0"/>
    <x v="3"/>
  </r>
  <r>
    <x v="58"/>
    <x v="11"/>
    <x v="4"/>
    <x v="4"/>
    <x v="3"/>
    <x v="106"/>
    <x v="84"/>
    <n v="10"/>
    <x v="15"/>
    <x v="24"/>
    <x v="10"/>
    <x v="95"/>
    <x v="3"/>
    <x v="0"/>
    <x v="0"/>
  </r>
  <r>
    <x v="50"/>
    <x v="1"/>
    <x v="1"/>
    <x v="1"/>
    <x v="3"/>
    <x v="97"/>
    <x v="60"/>
    <n v="150"/>
    <x v="53"/>
    <x v="52"/>
    <x v="0"/>
    <x v="105"/>
    <x v="4"/>
    <x v="0"/>
    <x v="3"/>
  </r>
  <r>
    <x v="110"/>
    <x v="20"/>
    <x v="3"/>
    <x v="3"/>
    <x v="5"/>
    <x v="107"/>
    <x v="85"/>
    <n v="10"/>
    <x v="16"/>
    <x v="40"/>
    <x v="18"/>
    <x v="106"/>
    <x v="3"/>
    <x v="0"/>
    <x v="5"/>
  </r>
  <r>
    <x v="111"/>
    <x v="25"/>
    <x v="3"/>
    <x v="3"/>
    <x v="3"/>
    <x v="108"/>
    <x v="86"/>
    <n v="10"/>
    <x v="5"/>
    <x v="25"/>
    <x v="21"/>
    <x v="107"/>
    <x v="4"/>
    <x v="0"/>
    <x v="5"/>
  </r>
  <r>
    <x v="67"/>
    <x v="25"/>
    <x v="3"/>
    <x v="3"/>
    <x v="9"/>
    <x v="109"/>
    <x v="87"/>
    <n v="10"/>
    <x v="47"/>
    <x v="12"/>
    <x v="21"/>
    <x v="14"/>
    <x v="3"/>
    <x v="2"/>
    <x v="4"/>
  </r>
  <r>
    <x v="112"/>
    <x v="1"/>
    <x v="1"/>
    <x v="1"/>
    <x v="4"/>
    <x v="110"/>
    <x v="88"/>
    <n v="50"/>
    <x v="54"/>
    <x v="53"/>
    <x v="0"/>
    <x v="108"/>
    <x v="0"/>
    <x v="0"/>
    <x v="1"/>
  </r>
  <r>
    <x v="112"/>
    <x v="27"/>
    <x v="1"/>
    <x v="1"/>
    <x v="6"/>
    <x v="84"/>
    <x v="8"/>
    <n v="150"/>
    <x v="55"/>
    <x v="54"/>
    <x v="22"/>
    <x v="109"/>
    <x v="3"/>
    <x v="0"/>
    <x v="6"/>
  </r>
  <r>
    <x v="113"/>
    <x v="14"/>
    <x v="3"/>
    <x v="3"/>
    <x v="8"/>
    <x v="111"/>
    <x v="89"/>
    <n v="100"/>
    <x v="56"/>
    <x v="31"/>
    <x v="10"/>
    <x v="110"/>
    <x v="1"/>
    <x v="0"/>
    <x v="7"/>
  </r>
  <r>
    <x v="114"/>
    <x v="8"/>
    <x v="2"/>
    <x v="2"/>
    <x v="2"/>
    <x v="112"/>
    <x v="90"/>
    <n v="10"/>
    <x v="16"/>
    <x v="40"/>
    <x v="7"/>
    <x v="111"/>
    <x v="1"/>
    <x v="0"/>
    <x v="5"/>
  </r>
  <r>
    <x v="115"/>
    <x v="14"/>
    <x v="3"/>
    <x v="3"/>
    <x v="1"/>
    <x v="113"/>
    <x v="91"/>
    <n v="200"/>
    <x v="57"/>
    <x v="55"/>
    <x v="10"/>
    <x v="112"/>
    <x v="4"/>
    <x v="0"/>
    <x v="2"/>
  </r>
  <r>
    <x v="116"/>
    <x v="26"/>
    <x v="4"/>
    <x v="4"/>
    <x v="1"/>
    <x v="114"/>
    <x v="92"/>
    <n v="20"/>
    <x v="31"/>
    <x v="34"/>
    <x v="0"/>
    <x v="113"/>
    <x v="1"/>
    <x v="0"/>
    <x v="3"/>
  </r>
  <r>
    <x v="37"/>
    <x v="23"/>
    <x v="1"/>
    <x v="1"/>
    <x v="9"/>
    <x v="42"/>
    <x v="2"/>
    <n v="100"/>
    <x v="2"/>
    <x v="2"/>
    <x v="20"/>
    <x v="114"/>
    <x v="2"/>
    <x v="0"/>
    <x v="4"/>
  </r>
  <r>
    <x v="32"/>
    <x v="21"/>
    <x v="2"/>
    <x v="2"/>
    <x v="6"/>
    <x v="115"/>
    <x v="93"/>
    <n v="5"/>
    <x v="16"/>
    <x v="3"/>
    <x v="19"/>
    <x v="115"/>
    <x v="2"/>
    <x v="1"/>
    <x v="2"/>
  </r>
  <r>
    <x v="117"/>
    <x v="17"/>
    <x v="4"/>
    <x v="4"/>
    <x v="2"/>
    <x v="78"/>
    <x v="94"/>
    <n v="150"/>
    <x v="58"/>
    <x v="56"/>
    <x v="15"/>
    <x v="116"/>
    <x v="1"/>
    <x v="0"/>
    <x v="1"/>
  </r>
  <r>
    <x v="35"/>
    <x v="0"/>
    <x v="0"/>
    <x v="0"/>
    <x v="1"/>
    <x v="116"/>
    <x v="33"/>
    <n v="20"/>
    <x v="15"/>
    <x v="53"/>
    <x v="0"/>
    <x v="108"/>
    <x v="3"/>
    <x v="0"/>
    <x v="4"/>
  </r>
  <r>
    <x v="67"/>
    <x v="12"/>
    <x v="3"/>
    <x v="3"/>
    <x v="8"/>
    <x v="117"/>
    <x v="66"/>
    <n v="150"/>
    <x v="59"/>
    <x v="57"/>
    <x v="11"/>
    <x v="117"/>
    <x v="2"/>
    <x v="0"/>
    <x v="1"/>
  </r>
  <r>
    <x v="69"/>
    <x v="13"/>
    <x v="5"/>
    <x v="5"/>
    <x v="5"/>
    <x v="86"/>
    <x v="2"/>
    <n v="100"/>
    <x v="2"/>
    <x v="2"/>
    <x v="12"/>
    <x v="104"/>
    <x v="1"/>
    <x v="0"/>
    <x v="2"/>
  </r>
  <r>
    <x v="16"/>
    <x v="16"/>
    <x v="5"/>
    <x v="5"/>
    <x v="2"/>
    <x v="118"/>
    <x v="95"/>
    <n v="10"/>
    <x v="31"/>
    <x v="19"/>
    <x v="14"/>
    <x v="118"/>
    <x v="4"/>
    <x v="1"/>
    <x v="5"/>
  </r>
  <r>
    <x v="118"/>
    <x v="19"/>
    <x v="2"/>
    <x v="2"/>
    <x v="8"/>
    <x v="119"/>
    <x v="96"/>
    <n v="2"/>
    <x v="5"/>
    <x v="12"/>
    <x v="17"/>
    <x v="14"/>
    <x v="0"/>
    <x v="2"/>
    <x v="5"/>
  </r>
  <r>
    <x v="119"/>
    <x v="24"/>
    <x v="0"/>
    <x v="0"/>
    <x v="2"/>
    <x v="120"/>
    <x v="2"/>
    <n v="50"/>
    <x v="2"/>
    <x v="16"/>
    <x v="3"/>
    <x v="119"/>
    <x v="1"/>
    <x v="0"/>
    <x v="6"/>
  </r>
  <r>
    <x v="120"/>
    <x v="26"/>
    <x v="4"/>
    <x v="4"/>
    <x v="7"/>
    <x v="121"/>
    <x v="2"/>
    <n v="20"/>
    <x v="2"/>
    <x v="17"/>
    <x v="0"/>
    <x v="38"/>
    <x v="4"/>
    <x v="0"/>
    <x v="3"/>
  </r>
  <r>
    <x v="121"/>
    <x v="7"/>
    <x v="3"/>
    <x v="3"/>
    <x v="2"/>
    <x v="122"/>
    <x v="97"/>
    <n v="50"/>
    <x v="35"/>
    <x v="58"/>
    <x v="6"/>
    <x v="120"/>
    <x v="2"/>
    <x v="0"/>
    <x v="6"/>
  </r>
  <r>
    <x v="122"/>
    <x v="20"/>
    <x v="3"/>
    <x v="3"/>
    <x v="6"/>
    <x v="123"/>
    <x v="98"/>
    <n v="150"/>
    <x v="60"/>
    <x v="59"/>
    <x v="18"/>
    <x v="121"/>
    <x v="1"/>
    <x v="0"/>
    <x v="7"/>
  </r>
  <r>
    <x v="114"/>
    <x v="8"/>
    <x v="2"/>
    <x v="2"/>
    <x v="0"/>
    <x v="42"/>
    <x v="99"/>
    <n v="5"/>
    <x v="3"/>
    <x v="20"/>
    <x v="7"/>
    <x v="122"/>
    <x v="2"/>
    <x v="1"/>
    <x v="4"/>
  </r>
  <r>
    <x v="123"/>
    <x v="5"/>
    <x v="0"/>
    <x v="0"/>
    <x v="0"/>
    <x v="124"/>
    <x v="45"/>
    <n v="20"/>
    <x v="31"/>
    <x v="34"/>
    <x v="4"/>
    <x v="123"/>
    <x v="3"/>
    <x v="0"/>
    <x v="1"/>
  </r>
  <r>
    <x v="47"/>
    <x v="17"/>
    <x v="4"/>
    <x v="4"/>
    <x v="1"/>
    <x v="95"/>
    <x v="100"/>
    <n v="10"/>
    <x v="47"/>
    <x v="12"/>
    <x v="15"/>
    <x v="14"/>
    <x v="4"/>
    <x v="2"/>
    <x v="0"/>
  </r>
  <r>
    <x v="124"/>
    <x v="16"/>
    <x v="5"/>
    <x v="5"/>
    <x v="9"/>
    <x v="125"/>
    <x v="101"/>
    <n v="10"/>
    <x v="9"/>
    <x v="6"/>
    <x v="14"/>
    <x v="124"/>
    <x v="3"/>
    <x v="1"/>
    <x v="6"/>
  </r>
  <r>
    <x v="89"/>
    <x v="9"/>
    <x v="4"/>
    <x v="4"/>
    <x v="1"/>
    <x v="126"/>
    <x v="102"/>
    <n v="150"/>
    <x v="61"/>
    <x v="10"/>
    <x v="8"/>
    <x v="125"/>
    <x v="0"/>
    <x v="0"/>
    <x v="2"/>
  </r>
  <r>
    <x v="84"/>
    <x v="19"/>
    <x v="2"/>
    <x v="2"/>
    <x v="1"/>
    <x v="127"/>
    <x v="2"/>
    <n v="2"/>
    <x v="2"/>
    <x v="19"/>
    <x v="17"/>
    <x v="22"/>
    <x v="0"/>
    <x v="1"/>
    <x v="6"/>
  </r>
  <r>
    <x v="125"/>
    <x v="2"/>
    <x v="1"/>
    <x v="1"/>
    <x v="9"/>
    <x v="116"/>
    <x v="103"/>
    <n v="200"/>
    <x v="62"/>
    <x v="17"/>
    <x v="1"/>
    <x v="126"/>
    <x v="2"/>
    <x v="0"/>
    <x v="2"/>
  </r>
  <r>
    <x v="126"/>
    <x v="5"/>
    <x v="0"/>
    <x v="0"/>
    <x v="4"/>
    <x v="10"/>
    <x v="104"/>
    <n v="200"/>
    <x v="63"/>
    <x v="4"/>
    <x v="4"/>
    <x v="120"/>
    <x v="2"/>
    <x v="0"/>
    <x v="5"/>
  </r>
  <r>
    <x v="127"/>
    <x v="24"/>
    <x v="0"/>
    <x v="0"/>
    <x v="0"/>
    <x v="128"/>
    <x v="2"/>
    <n v="20"/>
    <x v="2"/>
    <x v="17"/>
    <x v="3"/>
    <x v="58"/>
    <x v="4"/>
    <x v="0"/>
    <x v="7"/>
  </r>
  <r>
    <x v="52"/>
    <x v="26"/>
    <x v="4"/>
    <x v="4"/>
    <x v="9"/>
    <x v="129"/>
    <x v="105"/>
    <n v="10"/>
    <x v="9"/>
    <x v="6"/>
    <x v="0"/>
    <x v="127"/>
    <x v="0"/>
    <x v="1"/>
    <x v="0"/>
  </r>
  <r>
    <x v="63"/>
    <x v="10"/>
    <x v="5"/>
    <x v="5"/>
    <x v="9"/>
    <x v="130"/>
    <x v="65"/>
    <n v="10"/>
    <x v="15"/>
    <x v="24"/>
    <x v="9"/>
    <x v="128"/>
    <x v="1"/>
    <x v="0"/>
    <x v="6"/>
  </r>
  <r>
    <x v="128"/>
    <x v="11"/>
    <x v="4"/>
    <x v="4"/>
    <x v="4"/>
    <x v="131"/>
    <x v="106"/>
    <n v="200"/>
    <x v="64"/>
    <x v="60"/>
    <x v="10"/>
    <x v="129"/>
    <x v="1"/>
    <x v="0"/>
    <x v="2"/>
  </r>
  <r>
    <x v="129"/>
    <x v="5"/>
    <x v="0"/>
    <x v="0"/>
    <x v="6"/>
    <x v="83"/>
    <x v="66"/>
    <n v="50"/>
    <x v="65"/>
    <x v="5"/>
    <x v="4"/>
    <x v="5"/>
    <x v="4"/>
    <x v="0"/>
    <x v="2"/>
  </r>
  <r>
    <x v="130"/>
    <x v="3"/>
    <x v="2"/>
    <x v="2"/>
    <x v="2"/>
    <x v="13"/>
    <x v="107"/>
    <n v="2"/>
    <x v="3"/>
    <x v="3"/>
    <x v="2"/>
    <x v="3"/>
    <x v="0"/>
    <x v="1"/>
    <x v="4"/>
  </r>
  <r>
    <x v="131"/>
    <x v="21"/>
    <x v="2"/>
    <x v="2"/>
    <x v="3"/>
    <x v="132"/>
    <x v="2"/>
    <n v="10"/>
    <x v="2"/>
    <x v="5"/>
    <x v="19"/>
    <x v="130"/>
    <x v="3"/>
    <x v="0"/>
    <x v="6"/>
  </r>
  <r>
    <x v="69"/>
    <x v="10"/>
    <x v="5"/>
    <x v="5"/>
    <x v="3"/>
    <x v="108"/>
    <x v="108"/>
    <n v="100"/>
    <x v="66"/>
    <x v="61"/>
    <x v="9"/>
    <x v="131"/>
    <x v="0"/>
    <x v="0"/>
    <x v="0"/>
  </r>
  <r>
    <x v="42"/>
    <x v="13"/>
    <x v="5"/>
    <x v="5"/>
    <x v="0"/>
    <x v="133"/>
    <x v="109"/>
    <n v="150"/>
    <x v="67"/>
    <x v="51"/>
    <x v="12"/>
    <x v="132"/>
    <x v="3"/>
    <x v="0"/>
    <x v="7"/>
  </r>
  <r>
    <x v="132"/>
    <x v="7"/>
    <x v="3"/>
    <x v="3"/>
    <x v="4"/>
    <x v="134"/>
    <x v="2"/>
    <n v="150"/>
    <x v="2"/>
    <x v="27"/>
    <x v="6"/>
    <x v="133"/>
    <x v="3"/>
    <x v="0"/>
    <x v="0"/>
  </r>
  <r>
    <x v="133"/>
    <x v="18"/>
    <x v="5"/>
    <x v="5"/>
    <x v="1"/>
    <x v="135"/>
    <x v="110"/>
    <n v="200"/>
    <x v="64"/>
    <x v="60"/>
    <x v="16"/>
    <x v="134"/>
    <x v="3"/>
    <x v="0"/>
    <x v="5"/>
  </r>
  <r>
    <x v="134"/>
    <x v="7"/>
    <x v="3"/>
    <x v="3"/>
    <x v="1"/>
    <x v="136"/>
    <x v="111"/>
    <n v="100"/>
    <x v="17"/>
    <x v="62"/>
    <x v="6"/>
    <x v="135"/>
    <x v="3"/>
    <x v="0"/>
    <x v="1"/>
  </r>
  <r>
    <x v="135"/>
    <x v="0"/>
    <x v="0"/>
    <x v="0"/>
    <x v="3"/>
    <x v="137"/>
    <x v="112"/>
    <n v="20"/>
    <x v="47"/>
    <x v="5"/>
    <x v="0"/>
    <x v="56"/>
    <x v="3"/>
    <x v="0"/>
    <x v="3"/>
  </r>
  <r>
    <x v="136"/>
    <x v="19"/>
    <x v="2"/>
    <x v="2"/>
    <x v="3"/>
    <x v="138"/>
    <x v="113"/>
    <n v="2"/>
    <x v="3"/>
    <x v="3"/>
    <x v="17"/>
    <x v="23"/>
    <x v="1"/>
    <x v="1"/>
    <x v="7"/>
  </r>
  <r>
    <x v="137"/>
    <x v="12"/>
    <x v="3"/>
    <x v="3"/>
    <x v="5"/>
    <x v="4"/>
    <x v="114"/>
    <n v="100"/>
    <x v="68"/>
    <x v="34"/>
    <x v="11"/>
    <x v="136"/>
    <x v="4"/>
    <x v="0"/>
    <x v="4"/>
  </r>
  <r>
    <x v="81"/>
    <x v="2"/>
    <x v="1"/>
    <x v="1"/>
    <x v="8"/>
    <x v="139"/>
    <x v="2"/>
    <n v="10"/>
    <x v="2"/>
    <x v="5"/>
    <x v="1"/>
    <x v="93"/>
    <x v="4"/>
    <x v="0"/>
    <x v="5"/>
  </r>
  <r>
    <x v="138"/>
    <x v="26"/>
    <x v="4"/>
    <x v="4"/>
    <x v="6"/>
    <x v="140"/>
    <x v="115"/>
    <n v="10"/>
    <x v="4"/>
    <x v="3"/>
    <x v="0"/>
    <x v="48"/>
    <x v="0"/>
    <x v="1"/>
    <x v="2"/>
  </r>
  <r>
    <x v="27"/>
    <x v="15"/>
    <x v="0"/>
    <x v="0"/>
    <x v="9"/>
    <x v="14"/>
    <x v="116"/>
    <n v="50"/>
    <x v="54"/>
    <x v="53"/>
    <x v="13"/>
    <x v="137"/>
    <x v="0"/>
    <x v="0"/>
    <x v="0"/>
  </r>
  <r>
    <x v="139"/>
    <x v="17"/>
    <x v="4"/>
    <x v="4"/>
    <x v="6"/>
    <x v="141"/>
    <x v="2"/>
    <n v="10"/>
    <x v="2"/>
    <x v="5"/>
    <x v="15"/>
    <x v="138"/>
    <x v="3"/>
    <x v="0"/>
    <x v="0"/>
  </r>
  <r>
    <x v="140"/>
    <x v="25"/>
    <x v="3"/>
    <x v="3"/>
    <x v="2"/>
    <x v="35"/>
    <x v="117"/>
    <n v="150"/>
    <x v="26"/>
    <x v="63"/>
    <x v="21"/>
    <x v="139"/>
    <x v="3"/>
    <x v="0"/>
    <x v="7"/>
  </r>
  <r>
    <x v="141"/>
    <x v="16"/>
    <x v="5"/>
    <x v="5"/>
    <x v="7"/>
    <x v="71"/>
    <x v="66"/>
    <n v="20"/>
    <x v="69"/>
    <x v="3"/>
    <x v="14"/>
    <x v="140"/>
    <x v="0"/>
    <x v="1"/>
    <x v="5"/>
  </r>
  <r>
    <x v="142"/>
    <x v="2"/>
    <x v="1"/>
    <x v="1"/>
    <x v="4"/>
    <x v="43"/>
    <x v="118"/>
    <n v="10"/>
    <x v="9"/>
    <x v="6"/>
    <x v="1"/>
    <x v="141"/>
    <x v="2"/>
    <x v="1"/>
    <x v="6"/>
  </r>
  <r>
    <x v="143"/>
    <x v="4"/>
    <x v="1"/>
    <x v="1"/>
    <x v="7"/>
    <x v="142"/>
    <x v="119"/>
    <n v="150"/>
    <x v="61"/>
    <x v="10"/>
    <x v="3"/>
    <x v="142"/>
    <x v="0"/>
    <x v="0"/>
    <x v="4"/>
  </r>
  <r>
    <x v="144"/>
    <x v="24"/>
    <x v="0"/>
    <x v="0"/>
    <x v="0"/>
    <x v="106"/>
    <x v="120"/>
    <n v="100"/>
    <x v="70"/>
    <x v="59"/>
    <x v="3"/>
    <x v="143"/>
    <x v="4"/>
    <x v="0"/>
    <x v="3"/>
  </r>
  <r>
    <x v="145"/>
    <x v="15"/>
    <x v="0"/>
    <x v="0"/>
    <x v="6"/>
    <x v="143"/>
    <x v="121"/>
    <n v="200"/>
    <x v="19"/>
    <x v="64"/>
    <x v="13"/>
    <x v="144"/>
    <x v="3"/>
    <x v="0"/>
    <x v="2"/>
  </r>
  <r>
    <x v="146"/>
    <x v="11"/>
    <x v="4"/>
    <x v="4"/>
    <x v="8"/>
    <x v="56"/>
    <x v="29"/>
    <n v="50"/>
    <x v="13"/>
    <x v="65"/>
    <x v="10"/>
    <x v="145"/>
    <x v="1"/>
    <x v="0"/>
    <x v="7"/>
  </r>
  <r>
    <x v="147"/>
    <x v="16"/>
    <x v="5"/>
    <x v="5"/>
    <x v="1"/>
    <x v="144"/>
    <x v="6"/>
    <n v="20"/>
    <x v="71"/>
    <x v="40"/>
    <x v="14"/>
    <x v="146"/>
    <x v="0"/>
    <x v="0"/>
    <x v="0"/>
  </r>
  <r>
    <x v="148"/>
    <x v="22"/>
    <x v="5"/>
    <x v="5"/>
    <x v="0"/>
    <x v="145"/>
    <x v="122"/>
    <n v="10"/>
    <x v="9"/>
    <x v="6"/>
    <x v="13"/>
    <x v="147"/>
    <x v="2"/>
    <x v="1"/>
    <x v="1"/>
  </r>
  <r>
    <x v="149"/>
    <x v="14"/>
    <x v="3"/>
    <x v="3"/>
    <x v="5"/>
    <x v="62"/>
    <x v="2"/>
    <n v="20"/>
    <x v="2"/>
    <x v="17"/>
    <x v="10"/>
    <x v="25"/>
    <x v="0"/>
    <x v="0"/>
    <x v="6"/>
  </r>
  <r>
    <x v="150"/>
    <x v="6"/>
    <x v="2"/>
    <x v="2"/>
    <x v="5"/>
    <x v="146"/>
    <x v="123"/>
    <n v="5"/>
    <x v="3"/>
    <x v="20"/>
    <x v="5"/>
    <x v="148"/>
    <x v="2"/>
    <x v="1"/>
    <x v="6"/>
  </r>
  <r>
    <x v="22"/>
    <x v="19"/>
    <x v="2"/>
    <x v="2"/>
    <x v="8"/>
    <x v="7"/>
    <x v="113"/>
    <n v="5"/>
    <x v="3"/>
    <x v="20"/>
    <x v="17"/>
    <x v="149"/>
    <x v="2"/>
    <x v="1"/>
    <x v="1"/>
  </r>
  <r>
    <x v="94"/>
    <x v="15"/>
    <x v="0"/>
    <x v="0"/>
    <x v="8"/>
    <x v="147"/>
    <x v="2"/>
    <n v="50"/>
    <x v="2"/>
    <x v="16"/>
    <x v="13"/>
    <x v="150"/>
    <x v="1"/>
    <x v="0"/>
    <x v="2"/>
  </r>
  <r>
    <x v="151"/>
    <x v="24"/>
    <x v="0"/>
    <x v="0"/>
    <x v="4"/>
    <x v="17"/>
    <x v="124"/>
    <n v="100"/>
    <x v="72"/>
    <x v="66"/>
    <x v="3"/>
    <x v="81"/>
    <x v="2"/>
    <x v="0"/>
    <x v="2"/>
  </r>
  <r>
    <x v="152"/>
    <x v="17"/>
    <x v="4"/>
    <x v="4"/>
    <x v="1"/>
    <x v="148"/>
    <x v="2"/>
    <n v="20"/>
    <x v="2"/>
    <x v="17"/>
    <x v="15"/>
    <x v="5"/>
    <x v="4"/>
    <x v="0"/>
    <x v="6"/>
  </r>
  <r>
    <x v="64"/>
    <x v="9"/>
    <x v="4"/>
    <x v="4"/>
    <x v="3"/>
    <x v="149"/>
    <x v="106"/>
    <n v="50"/>
    <x v="31"/>
    <x v="67"/>
    <x v="8"/>
    <x v="151"/>
    <x v="3"/>
    <x v="0"/>
    <x v="1"/>
  </r>
  <r>
    <x v="153"/>
    <x v="0"/>
    <x v="0"/>
    <x v="0"/>
    <x v="0"/>
    <x v="150"/>
    <x v="125"/>
    <n v="150"/>
    <x v="25"/>
    <x v="68"/>
    <x v="0"/>
    <x v="152"/>
    <x v="2"/>
    <x v="0"/>
    <x v="3"/>
  </r>
  <r>
    <x v="154"/>
    <x v="9"/>
    <x v="4"/>
    <x v="4"/>
    <x v="0"/>
    <x v="151"/>
    <x v="126"/>
    <n v="150"/>
    <x v="73"/>
    <x v="48"/>
    <x v="8"/>
    <x v="153"/>
    <x v="2"/>
    <x v="0"/>
    <x v="7"/>
  </r>
  <r>
    <x v="107"/>
    <x v="20"/>
    <x v="3"/>
    <x v="3"/>
    <x v="6"/>
    <x v="43"/>
    <x v="118"/>
    <n v="200"/>
    <x v="34"/>
    <x v="52"/>
    <x v="18"/>
    <x v="154"/>
    <x v="2"/>
    <x v="0"/>
    <x v="2"/>
  </r>
  <r>
    <x v="155"/>
    <x v="23"/>
    <x v="1"/>
    <x v="1"/>
    <x v="9"/>
    <x v="64"/>
    <x v="2"/>
    <n v="200"/>
    <x v="2"/>
    <x v="69"/>
    <x v="20"/>
    <x v="25"/>
    <x v="4"/>
    <x v="0"/>
    <x v="6"/>
  </r>
  <r>
    <x v="156"/>
    <x v="15"/>
    <x v="0"/>
    <x v="0"/>
    <x v="2"/>
    <x v="57"/>
    <x v="2"/>
    <n v="100"/>
    <x v="2"/>
    <x v="2"/>
    <x v="13"/>
    <x v="155"/>
    <x v="1"/>
    <x v="0"/>
    <x v="7"/>
  </r>
  <r>
    <x v="157"/>
    <x v="13"/>
    <x v="5"/>
    <x v="5"/>
    <x v="3"/>
    <x v="152"/>
    <x v="65"/>
    <n v="10"/>
    <x v="47"/>
    <x v="12"/>
    <x v="12"/>
    <x v="14"/>
    <x v="1"/>
    <x v="2"/>
    <x v="7"/>
  </r>
  <r>
    <x v="158"/>
    <x v="4"/>
    <x v="1"/>
    <x v="1"/>
    <x v="2"/>
    <x v="138"/>
    <x v="127"/>
    <n v="200"/>
    <x v="30"/>
    <x v="33"/>
    <x v="3"/>
    <x v="156"/>
    <x v="1"/>
    <x v="0"/>
    <x v="0"/>
  </r>
  <r>
    <x v="159"/>
    <x v="5"/>
    <x v="0"/>
    <x v="0"/>
    <x v="6"/>
    <x v="9"/>
    <x v="128"/>
    <n v="20"/>
    <x v="4"/>
    <x v="70"/>
    <x v="4"/>
    <x v="157"/>
    <x v="2"/>
    <x v="0"/>
    <x v="5"/>
  </r>
  <r>
    <x v="160"/>
    <x v="11"/>
    <x v="4"/>
    <x v="4"/>
    <x v="7"/>
    <x v="17"/>
    <x v="129"/>
    <n v="200"/>
    <x v="74"/>
    <x v="22"/>
    <x v="10"/>
    <x v="158"/>
    <x v="2"/>
    <x v="0"/>
    <x v="5"/>
  </r>
  <r>
    <x v="161"/>
    <x v="13"/>
    <x v="5"/>
    <x v="5"/>
    <x v="1"/>
    <x v="153"/>
    <x v="130"/>
    <n v="200"/>
    <x v="75"/>
    <x v="71"/>
    <x v="12"/>
    <x v="159"/>
    <x v="3"/>
    <x v="0"/>
    <x v="7"/>
  </r>
  <r>
    <x v="162"/>
    <x v="0"/>
    <x v="0"/>
    <x v="0"/>
    <x v="1"/>
    <x v="154"/>
    <x v="131"/>
    <n v="20"/>
    <x v="9"/>
    <x v="72"/>
    <x v="0"/>
    <x v="160"/>
    <x v="0"/>
    <x v="0"/>
    <x v="1"/>
  </r>
  <r>
    <x v="163"/>
    <x v="26"/>
    <x v="4"/>
    <x v="4"/>
    <x v="2"/>
    <x v="155"/>
    <x v="93"/>
    <n v="10"/>
    <x v="47"/>
    <x v="12"/>
    <x v="0"/>
    <x v="14"/>
    <x v="4"/>
    <x v="2"/>
    <x v="6"/>
  </r>
  <r>
    <x v="164"/>
    <x v="9"/>
    <x v="4"/>
    <x v="4"/>
    <x v="6"/>
    <x v="151"/>
    <x v="132"/>
    <n v="150"/>
    <x v="76"/>
    <x v="3"/>
    <x v="8"/>
    <x v="126"/>
    <x v="0"/>
    <x v="1"/>
    <x v="0"/>
  </r>
  <r>
    <x v="165"/>
    <x v="19"/>
    <x v="2"/>
    <x v="2"/>
    <x v="4"/>
    <x v="156"/>
    <x v="47"/>
    <n v="5"/>
    <x v="16"/>
    <x v="3"/>
    <x v="17"/>
    <x v="23"/>
    <x v="0"/>
    <x v="1"/>
    <x v="6"/>
  </r>
  <r>
    <x v="114"/>
    <x v="3"/>
    <x v="2"/>
    <x v="2"/>
    <x v="6"/>
    <x v="157"/>
    <x v="133"/>
    <n v="10"/>
    <x v="15"/>
    <x v="24"/>
    <x v="2"/>
    <x v="161"/>
    <x v="1"/>
    <x v="0"/>
    <x v="3"/>
  </r>
  <r>
    <x v="166"/>
    <x v="14"/>
    <x v="3"/>
    <x v="3"/>
    <x v="0"/>
    <x v="158"/>
    <x v="134"/>
    <n v="50"/>
    <x v="77"/>
    <x v="49"/>
    <x v="10"/>
    <x v="162"/>
    <x v="1"/>
    <x v="0"/>
    <x v="2"/>
  </r>
  <r>
    <x v="167"/>
    <x v="5"/>
    <x v="0"/>
    <x v="0"/>
    <x v="8"/>
    <x v="47"/>
    <x v="2"/>
    <n v="10"/>
    <x v="2"/>
    <x v="5"/>
    <x v="4"/>
    <x v="5"/>
    <x v="3"/>
    <x v="0"/>
    <x v="3"/>
  </r>
  <r>
    <x v="88"/>
    <x v="1"/>
    <x v="1"/>
    <x v="1"/>
    <x v="3"/>
    <x v="159"/>
    <x v="135"/>
    <n v="10"/>
    <x v="31"/>
    <x v="19"/>
    <x v="0"/>
    <x v="163"/>
    <x v="4"/>
    <x v="1"/>
    <x v="6"/>
  </r>
  <r>
    <x v="40"/>
    <x v="10"/>
    <x v="5"/>
    <x v="5"/>
    <x v="9"/>
    <x v="160"/>
    <x v="2"/>
    <n v="20"/>
    <x v="2"/>
    <x v="17"/>
    <x v="9"/>
    <x v="54"/>
    <x v="1"/>
    <x v="0"/>
    <x v="5"/>
  </r>
  <r>
    <x v="148"/>
    <x v="11"/>
    <x v="4"/>
    <x v="4"/>
    <x v="2"/>
    <x v="91"/>
    <x v="2"/>
    <n v="150"/>
    <x v="2"/>
    <x v="27"/>
    <x v="10"/>
    <x v="164"/>
    <x v="1"/>
    <x v="0"/>
    <x v="0"/>
  </r>
  <r>
    <x v="168"/>
    <x v="14"/>
    <x v="3"/>
    <x v="3"/>
    <x v="5"/>
    <x v="38"/>
    <x v="2"/>
    <n v="200"/>
    <x v="2"/>
    <x v="69"/>
    <x v="10"/>
    <x v="165"/>
    <x v="3"/>
    <x v="0"/>
    <x v="6"/>
  </r>
  <r>
    <x v="78"/>
    <x v="14"/>
    <x v="3"/>
    <x v="3"/>
    <x v="2"/>
    <x v="161"/>
    <x v="42"/>
    <n v="50"/>
    <x v="22"/>
    <x v="54"/>
    <x v="10"/>
    <x v="166"/>
    <x v="1"/>
    <x v="0"/>
    <x v="0"/>
  </r>
  <r>
    <x v="105"/>
    <x v="22"/>
    <x v="5"/>
    <x v="5"/>
    <x v="0"/>
    <x v="162"/>
    <x v="2"/>
    <n v="10"/>
    <x v="2"/>
    <x v="5"/>
    <x v="13"/>
    <x v="167"/>
    <x v="0"/>
    <x v="0"/>
    <x v="4"/>
  </r>
  <r>
    <x v="97"/>
    <x v="17"/>
    <x v="4"/>
    <x v="4"/>
    <x v="2"/>
    <x v="163"/>
    <x v="23"/>
    <n v="150"/>
    <x v="19"/>
    <x v="7"/>
    <x v="15"/>
    <x v="168"/>
    <x v="4"/>
    <x v="1"/>
    <x v="6"/>
  </r>
  <r>
    <x v="117"/>
    <x v="10"/>
    <x v="5"/>
    <x v="5"/>
    <x v="3"/>
    <x v="83"/>
    <x v="57"/>
    <n v="10"/>
    <x v="31"/>
    <x v="19"/>
    <x v="9"/>
    <x v="169"/>
    <x v="3"/>
    <x v="1"/>
    <x v="7"/>
  </r>
  <r>
    <x v="169"/>
    <x v="12"/>
    <x v="3"/>
    <x v="3"/>
    <x v="6"/>
    <x v="148"/>
    <x v="42"/>
    <n v="20"/>
    <x v="4"/>
    <x v="70"/>
    <x v="11"/>
    <x v="170"/>
    <x v="0"/>
    <x v="0"/>
    <x v="2"/>
  </r>
  <r>
    <x v="170"/>
    <x v="8"/>
    <x v="2"/>
    <x v="2"/>
    <x v="2"/>
    <x v="35"/>
    <x v="22"/>
    <n v="10"/>
    <x v="16"/>
    <x v="40"/>
    <x v="7"/>
    <x v="111"/>
    <x v="2"/>
    <x v="0"/>
    <x v="3"/>
  </r>
  <r>
    <x v="171"/>
    <x v="0"/>
    <x v="0"/>
    <x v="0"/>
    <x v="5"/>
    <x v="164"/>
    <x v="2"/>
    <n v="100"/>
    <x v="2"/>
    <x v="2"/>
    <x v="0"/>
    <x v="3"/>
    <x v="0"/>
    <x v="0"/>
    <x v="2"/>
  </r>
  <r>
    <x v="172"/>
    <x v="12"/>
    <x v="3"/>
    <x v="3"/>
    <x v="1"/>
    <x v="154"/>
    <x v="136"/>
    <n v="150"/>
    <x v="78"/>
    <x v="38"/>
    <x v="11"/>
    <x v="171"/>
    <x v="0"/>
    <x v="0"/>
    <x v="6"/>
  </r>
  <r>
    <x v="173"/>
    <x v="23"/>
    <x v="1"/>
    <x v="1"/>
    <x v="0"/>
    <x v="28"/>
    <x v="71"/>
    <n v="50"/>
    <x v="31"/>
    <x v="67"/>
    <x v="20"/>
    <x v="172"/>
    <x v="0"/>
    <x v="0"/>
    <x v="3"/>
  </r>
  <r>
    <x v="59"/>
    <x v="2"/>
    <x v="1"/>
    <x v="1"/>
    <x v="7"/>
    <x v="155"/>
    <x v="137"/>
    <n v="20"/>
    <x v="79"/>
    <x v="12"/>
    <x v="1"/>
    <x v="14"/>
    <x v="4"/>
    <x v="2"/>
    <x v="1"/>
  </r>
  <r>
    <x v="36"/>
    <x v="23"/>
    <x v="1"/>
    <x v="1"/>
    <x v="8"/>
    <x v="165"/>
    <x v="109"/>
    <n v="100"/>
    <x v="51"/>
    <x v="70"/>
    <x v="20"/>
    <x v="173"/>
    <x v="3"/>
    <x v="0"/>
    <x v="3"/>
  </r>
  <r>
    <x v="174"/>
    <x v="27"/>
    <x v="1"/>
    <x v="1"/>
    <x v="2"/>
    <x v="117"/>
    <x v="2"/>
    <n v="20"/>
    <x v="2"/>
    <x v="17"/>
    <x v="22"/>
    <x v="61"/>
    <x v="1"/>
    <x v="0"/>
    <x v="0"/>
  </r>
  <r>
    <x v="175"/>
    <x v="15"/>
    <x v="0"/>
    <x v="0"/>
    <x v="0"/>
    <x v="166"/>
    <x v="2"/>
    <n v="10"/>
    <x v="2"/>
    <x v="5"/>
    <x v="13"/>
    <x v="167"/>
    <x v="4"/>
    <x v="0"/>
    <x v="7"/>
  </r>
  <r>
    <x v="13"/>
    <x v="8"/>
    <x v="2"/>
    <x v="2"/>
    <x v="4"/>
    <x v="68"/>
    <x v="2"/>
    <n v="2"/>
    <x v="2"/>
    <x v="19"/>
    <x v="7"/>
    <x v="96"/>
    <x v="1"/>
    <x v="1"/>
    <x v="3"/>
  </r>
  <r>
    <x v="176"/>
    <x v="16"/>
    <x v="5"/>
    <x v="5"/>
    <x v="5"/>
    <x v="112"/>
    <x v="91"/>
    <n v="20"/>
    <x v="80"/>
    <x v="6"/>
    <x v="14"/>
    <x v="124"/>
    <x v="1"/>
    <x v="1"/>
    <x v="3"/>
  </r>
  <r>
    <x v="104"/>
    <x v="5"/>
    <x v="0"/>
    <x v="0"/>
    <x v="4"/>
    <x v="13"/>
    <x v="2"/>
    <n v="10"/>
    <x v="2"/>
    <x v="5"/>
    <x v="4"/>
    <x v="5"/>
    <x v="1"/>
    <x v="0"/>
    <x v="3"/>
  </r>
  <r>
    <x v="177"/>
    <x v="16"/>
    <x v="5"/>
    <x v="5"/>
    <x v="1"/>
    <x v="167"/>
    <x v="2"/>
    <n v="150"/>
    <x v="2"/>
    <x v="27"/>
    <x v="14"/>
    <x v="77"/>
    <x v="2"/>
    <x v="0"/>
    <x v="1"/>
  </r>
  <r>
    <x v="178"/>
    <x v="1"/>
    <x v="1"/>
    <x v="1"/>
    <x v="6"/>
    <x v="143"/>
    <x v="13"/>
    <n v="50"/>
    <x v="59"/>
    <x v="73"/>
    <x v="0"/>
    <x v="174"/>
    <x v="4"/>
    <x v="0"/>
    <x v="1"/>
  </r>
  <r>
    <x v="179"/>
    <x v="10"/>
    <x v="5"/>
    <x v="5"/>
    <x v="5"/>
    <x v="63"/>
    <x v="49"/>
    <n v="100"/>
    <x v="81"/>
    <x v="74"/>
    <x v="9"/>
    <x v="175"/>
    <x v="4"/>
    <x v="0"/>
    <x v="5"/>
  </r>
  <r>
    <x v="180"/>
    <x v="25"/>
    <x v="3"/>
    <x v="3"/>
    <x v="0"/>
    <x v="35"/>
    <x v="41"/>
    <n v="200"/>
    <x v="82"/>
    <x v="75"/>
    <x v="21"/>
    <x v="176"/>
    <x v="2"/>
    <x v="0"/>
    <x v="2"/>
  </r>
  <r>
    <x v="113"/>
    <x v="20"/>
    <x v="3"/>
    <x v="3"/>
    <x v="8"/>
    <x v="168"/>
    <x v="112"/>
    <n v="10"/>
    <x v="9"/>
    <x v="6"/>
    <x v="18"/>
    <x v="75"/>
    <x v="4"/>
    <x v="1"/>
    <x v="1"/>
  </r>
  <r>
    <x v="181"/>
    <x v="0"/>
    <x v="0"/>
    <x v="0"/>
    <x v="2"/>
    <x v="125"/>
    <x v="138"/>
    <n v="20"/>
    <x v="9"/>
    <x v="72"/>
    <x v="0"/>
    <x v="160"/>
    <x v="0"/>
    <x v="0"/>
    <x v="2"/>
  </r>
  <r>
    <x v="173"/>
    <x v="27"/>
    <x v="1"/>
    <x v="1"/>
    <x v="2"/>
    <x v="148"/>
    <x v="134"/>
    <n v="50"/>
    <x v="65"/>
    <x v="5"/>
    <x v="22"/>
    <x v="177"/>
    <x v="4"/>
    <x v="0"/>
    <x v="4"/>
  </r>
  <r>
    <x v="182"/>
    <x v="7"/>
    <x v="3"/>
    <x v="3"/>
    <x v="0"/>
    <x v="169"/>
    <x v="139"/>
    <n v="150"/>
    <x v="83"/>
    <x v="76"/>
    <x v="6"/>
    <x v="178"/>
    <x v="3"/>
    <x v="0"/>
    <x v="5"/>
  </r>
  <r>
    <x v="95"/>
    <x v="4"/>
    <x v="1"/>
    <x v="1"/>
    <x v="4"/>
    <x v="54"/>
    <x v="2"/>
    <n v="200"/>
    <x v="2"/>
    <x v="69"/>
    <x v="3"/>
    <x v="179"/>
    <x v="0"/>
    <x v="0"/>
    <x v="4"/>
  </r>
  <r>
    <x v="183"/>
    <x v="23"/>
    <x v="1"/>
    <x v="1"/>
    <x v="3"/>
    <x v="9"/>
    <x v="140"/>
    <n v="100"/>
    <x v="84"/>
    <x v="23"/>
    <x v="20"/>
    <x v="180"/>
    <x v="3"/>
    <x v="0"/>
    <x v="4"/>
  </r>
  <r>
    <x v="184"/>
    <x v="16"/>
    <x v="5"/>
    <x v="5"/>
    <x v="3"/>
    <x v="167"/>
    <x v="141"/>
    <n v="10"/>
    <x v="31"/>
    <x v="19"/>
    <x v="14"/>
    <x v="118"/>
    <x v="0"/>
    <x v="1"/>
    <x v="1"/>
  </r>
  <r>
    <x v="11"/>
    <x v="26"/>
    <x v="4"/>
    <x v="4"/>
    <x v="1"/>
    <x v="129"/>
    <x v="142"/>
    <n v="20"/>
    <x v="80"/>
    <x v="6"/>
    <x v="0"/>
    <x v="127"/>
    <x v="4"/>
    <x v="1"/>
    <x v="7"/>
  </r>
  <r>
    <x v="185"/>
    <x v="0"/>
    <x v="0"/>
    <x v="0"/>
    <x v="7"/>
    <x v="139"/>
    <x v="16"/>
    <n v="200"/>
    <x v="85"/>
    <x v="77"/>
    <x v="0"/>
    <x v="181"/>
    <x v="0"/>
    <x v="0"/>
    <x v="0"/>
  </r>
  <r>
    <x v="186"/>
    <x v="25"/>
    <x v="3"/>
    <x v="3"/>
    <x v="5"/>
    <x v="170"/>
    <x v="143"/>
    <n v="20"/>
    <x v="79"/>
    <x v="12"/>
    <x v="21"/>
    <x v="14"/>
    <x v="4"/>
    <x v="2"/>
    <x v="3"/>
  </r>
  <r>
    <x v="177"/>
    <x v="9"/>
    <x v="4"/>
    <x v="4"/>
    <x v="0"/>
    <x v="101"/>
    <x v="13"/>
    <n v="200"/>
    <x v="43"/>
    <x v="78"/>
    <x v="8"/>
    <x v="182"/>
    <x v="0"/>
    <x v="0"/>
    <x v="1"/>
  </r>
  <r>
    <x v="187"/>
    <x v="3"/>
    <x v="2"/>
    <x v="2"/>
    <x v="3"/>
    <x v="171"/>
    <x v="144"/>
    <n v="10"/>
    <x v="5"/>
    <x v="25"/>
    <x v="2"/>
    <x v="70"/>
    <x v="4"/>
    <x v="0"/>
    <x v="5"/>
  </r>
  <r>
    <x v="187"/>
    <x v="8"/>
    <x v="2"/>
    <x v="2"/>
    <x v="8"/>
    <x v="121"/>
    <x v="145"/>
    <n v="5"/>
    <x v="16"/>
    <x v="3"/>
    <x v="7"/>
    <x v="18"/>
    <x v="1"/>
    <x v="1"/>
    <x v="5"/>
  </r>
  <r>
    <x v="157"/>
    <x v="16"/>
    <x v="5"/>
    <x v="5"/>
    <x v="6"/>
    <x v="172"/>
    <x v="146"/>
    <n v="200"/>
    <x v="86"/>
    <x v="79"/>
    <x v="14"/>
    <x v="183"/>
    <x v="3"/>
    <x v="0"/>
    <x v="3"/>
  </r>
  <r>
    <x v="187"/>
    <x v="21"/>
    <x v="2"/>
    <x v="2"/>
    <x v="7"/>
    <x v="115"/>
    <x v="147"/>
    <n v="2"/>
    <x v="3"/>
    <x v="3"/>
    <x v="19"/>
    <x v="115"/>
    <x v="4"/>
    <x v="1"/>
    <x v="7"/>
  </r>
  <r>
    <x v="188"/>
    <x v="11"/>
    <x v="4"/>
    <x v="4"/>
    <x v="2"/>
    <x v="11"/>
    <x v="148"/>
    <n v="150"/>
    <x v="87"/>
    <x v="80"/>
    <x v="10"/>
    <x v="184"/>
    <x v="2"/>
    <x v="0"/>
    <x v="5"/>
  </r>
  <r>
    <x v="53"/>
    <x v="22"/>
    <x v="5"/>
    <x v="5"/>
    <x v="5"/>
    <x v="22"/>
    <x v="149"/>
    <n v="10"/>
    <x v="17"/>
    <x v="20"/>
    <x v="13"/>
    <x v="185"/>
    <x v="2"/>
    <x v="1"/>
    <x v="5"/>
  </r>
  <r>
    <x v="181"/>
    <x v="24"/>
    <x v="0"/>
    <x v="0"/>
    <x v="4"/>
    <x v="173"/>
    <x v="2"/>
    <n v="100"/>
    <x v="2"/>
    <x v="2"/>
    <x v="3"/>
    <x v="42"/>
    <x v="4"/>
    <x v="0"/>
    <x v="4"/>
  </r>
  <r>
    <x v="130"/>
    <x v="3"/>
    <x v="2"/>
    <x v="2"/>
    <x v="3"/>
    <x v="174"/>
    <x v="150"/>
    <n v="5"/>
    <x v="3"/>
    <x v="20"/>
    <x v="2"/>
    <x v="186"/>
    <x v="2"/>
    <x v="1"/>
    <x v="0"/>
  </r>
  <r>
    <x v="189"/>
    <x v="27"/>
    <x v="1"/>
    <x v="1"/>
    <x v="0"/>
    <x v="175"/>
    <x v="77"/>
    <n v="100"/>
    <x v="88"/>
    <x v="24"/>
    <x v="22"/>
    <x v="187"/>
    <x v="4"/>
    <x v="0"/>
    <x v="1"/>
  </r>
  <r>
    <x v="42"/>
    <x v="18"/>
    <x v="5"/>
    <x v="5"/>
    <x v="3"/>
    <x v="15"/>
    <x v="151"/>
    <n v="200"/>
    <x v="30"/>
    <x v="33"/>
    <x v="16"/>
    <x v="188"/>
    <x v="2"/>
    <x v="0"/>
    <x v="3"/>
  </r>
  <r>
    <x v="22"/>
    <x v="21"/>
    <x v="2"/>
    <x v="2"/>
    <x v="6"/>
    <x v="176"/>
    <x v="2"/>
    <n v="2"/>
    <x v="2"/>
    <x v="19"/>
    <x v="19"/>
    <x v="62"/>
    <x v="3"/>
    <x v="1"/>
    <x v="1"/>
  </r>
  <r>
    <x v="190"/>
    <x v="19"/>
    <x v="2"/>
    <x v="2"/>
    <x v="5"/>
    <x v="177"/>
    <x v="152"/>
    <n v="5"/>
    <x v="3"/>
    <x v="20"/>
    <x v="17"/>
    <x v="149"/>
    <x v="1"/>
    <x v="1"/>
    <x v="0"/>
  </r>
  <r>
    <x v="191"/>
    <x v="24"/>
    <x v="0"/>
    <x v="0"/>
    <x v="2"/>
    <x v="178"/>
    <x v="153"/>
    <n v="50"/>
    <x v="23"/>
    <x v="81"/>
    <x v="3"/>
    <x v="189"/>
    <x v="0"/>
    <x v="0"/>
    <x v="4"/>
  </r>
  <r>
    <x v="192"/>
    <x v="11"/>
    <x v="4"/>
    <x v="4"/>
    <x v="3"/>
    <x v="77"/>
    <x v="154"/>
    <n v="150"/>
    <x v="89"/>
    <x v="82"/>
    <x v="10"/>
    <x v="190"/>
    <x v="1"/>
    <x v="0"/>
    <x v="5"/>
  </r>
  <r>
    <x v="52"/>
    <x v="16"/>
    <x v="5"/>
    <x v="5"/>
    <x v="9"/>
    <x v="24"/>
    <x v="155"/>
    <n v="50"/>
    <x v="90"/>
    <x v="83"/>
    <x v="14"/>
    <x v="191"/>
    <x v="4"/>
    <x v="0"/>
    <x v="4"/>
  </r>
  <r>
    <x v="193"/>
    <x v="15"/>
    <x v="0"/>
    <x v="0"/>
    <x v="6"/>
    <x v="179"/>
    <x v="2"/>
    <n v="200"/>
    <x v="2"/>
    <x v="69"/>
    <x v="13"/>
    <x v="84"/>
    <x v="2"/>
    <x v="0"/>
    <x v="0"/>
  </r>
  <r>
    <x v="176"/>
    <x v="16"/>
    <x v="5"/>
    <x v="5"/>
    <x v="9"/>
    <x v="68"/>
    <x v="156"/>
    <n v="200"/>
    <x v="12"/>
    <x v="30"/>
    <x v="14"/>
    <x v="192"/>
    <x v="0"/>
    <x v="0"/>
    <x v="7"/>
  </r>
  <r>
    <x v="109"/>
    <x v="10"/>
    <x v="5"/>
    <x v="5"/>
    <x v="5"/>
    <x v="180"/>
    <x v="105"/>
    <n v="20"/>
    <x v="69"/>
    <x v="3"/>
    <x v="9"/>
    <x v="193"/>
    <x v="0"/>
    <x v="1"/>
    <x v="4"/>
  </r>
  <r>
    <x v="12"/>
    <x v="10"/>
    <x v="5"/>
    <x v="5"/>
    <x v="9"/>
    <x v="141"/>
    <x v="157"/>
    <n v="200"/>
    <x v="40"/>
    <x v="63"/>
    <x v="9"/>
    <x v="194"/>
    <x v="1"/>
    <x v="0"/>
    <x v="0"/>
  </r>
  <r>
    <x v="194"/>
    <x v="26"/>
    <x v="4"/>
    <x v="4"/>
    <x v="3"/>
    <x v="181"/>
    <x v="21"/>
    <n v="150"/>
    <x v="91"/>
    <x v="74"/>
    <x v="0"/>
    <x v="195"/>
    <x v="4"/>
    <x v="0"/>
    <x v="5"/>
  </r>
  <r>
    <x v="195"/>
    <x v="9"/>
    <x v="4"/>
    <x v="4"/>
    <x v="2"/>
    <x v="182"/>
    <x v="108"/>
    <n v="20"/>
    <x v="39"/>
    <x v="49"/>
    <x v="8"/>
    <x v="196"/>
    <x v="0"/>
    <x v="0"/>
    <x v="0"/>
  </r>
  <r>
    <x v="14"/>
    <x v="20"/>
    <x v="3"/>
    <x v="3"/>
    <x v="1"/>
    <x v="62"/>
    <x v="26"/>
    <n v="10"/>
    <x v="5"/>
    <x v="25"/>
    <x v="18"/>
    <x v="196"/>
    <x v="4"/>
    <x v="0"/>
    <x v="2"/>
  </r>
  <r>
    <x v="196"/>
    <x v="11"/>
    <x v="4"/>
    <x v="4"/>
    <x v="2"/>
    <x v="181"/>
    <x v="64"/>
    <n v="20"/>
    <x v="80"/>
    <x v="6"/>
    <x v="10"/>
    <x v="197"/>
    <x v="3"/>
    <x v="1"/>
    <x v="2"/>
  </r>
  <r>
    <x v="92"/>
    <x v="8"/>
    <x v="2"/>
    <x v="2"/>
    <x v="5"/>
    <x v="117"/>
    <x v="2"/>
    <n v="10"/>
    <x v="2"/>
    <x v="5"/>
    <x v="7"/>
    <x v="198"/>
    <x v="4"/>
    <x v="0"/>
    <x v="2"/>
  </r>
  <r>
    <x v="197"/>
    <x v="2"/>
    <x v="1"/>
    <x v="1"/>
    <x v="2"/>
    <x v="160"/>
    <x v="158"/>
    <n v="50"/>
    <x v="33"/>
    <x v="12"/>
    <x v="1"/>
    <x v="14"/>
    <x v="2"/>
    <x v="2"/>
    <x v="1"/>
  </r>
  <r>
    <x v="198"/>
    <x v="17"/>
    <x v="4"/>
    <x v="4"/>
    <x v="9"/>
    <x v="123"/>
    <x v="5"/>
    <n v="150"/>
    <x v="58"/>
    <x v="56"/>
    <x v="15"/>
    <x v="116"/>
    <x v="2"/>
    <x v="0"/>
    <x v="7"/>
  </r>
  <r>
    <x v="21"/>
    <x v="26"/>
    <x v="4"/>
    <x v="4"/>
    <x v="4"/>
    <x v="97"/>
    <x v="159"/>
    <n v="150"/>
    <x v="32"/>
    <x v="35"/>
    <x v="0"/>
    <x v="199"/>
    <x v="0"/>
    <x v="0"/>
    <x v="5"/>
  </r>
  <r>
    <x v="199"/>
    <x v="8"/>
    <x v="2"/>
    <x v="2"/>
    <x v="5"/>
    <x v="183"/>
    <x v="160"/>
    <n v="2"/>
    <x v="5"/>
    <x v="12"/>
    <x v="7"/>
    <x v="14"/>
    <x v="0"/>
    <x v="2"/>
    <x v="0"/>
  </r>
  <r>
    <x v="200"/>
    <x v="18"/>
    <x v="5"/>
    <x v="5"/>
    <x v="0"/>
    <x v="13"/>
    <x v="2"/>
    <n v="10"/>
    <x v="2"/>
    <x v="5"/>
    <x v="16"/>
    <x v="200"/>
    <x v="0"/>
    <x v="0"/>
    <x v="2"/>
  </r>
  <r>
    <x v="74"/>
    <x v="23"/>
    <x v="1"/>
    <x v="1"/>
    <x v="6"/>
    <x v="184"/>
    <x v="151"/>
    <n v="200"/>
    <x v="92"/>
    <x v="57"/>
    <x v="20"/>
    <x v="201"/>
    <x v="1"/>
    <x v="0"/>
    <x v="1"/>
  </r>
  <r>
    <x v="201"/>
    <x v="8"/>
    <x v="2"/>
    <x v="2"/>
    <x v="0"/>
    <x v="185"/>
    <x v="73"/>
    <n v="10"/>
    <x v="9"/>
    <x v="6"/>
    <x v="7"/>
    <x v="202"/>
    <x v="1"/>
    <x v="1"/>
    <x v="1"/>
  </r>
  <r>
    <x v="202"/>
    <x v="9"/>
    <x v="4"/>
    <x v="4"/>
    <x v="3"/>
    <x v="177"/>
    <x v="161"/>
    <n v="100"/>
    <x v="80"/>
    <x v="84"/>
    <x v="8"/>
    <x v="203"/>
    <x v="2"/>
    <x v="0"/>
    <x v="1"/>
  </r>
  <r>
    <x v="96"/>
    <x v="1"/>
    <x v="1"/>
    <x v="1"/>
    <x v="9"/>
    <x v="186"/>
    <x v="162"/>
    <n v="100"/>
    <x v="93"/>
    <x v="33"/>
    <x v="0"/>
    <x v="57"/>
    <x v="4"/>
    <x v="0"/>
    <x v="6"/>
  </r>
  <r>
    <x v="203"/>
    <x v="3"/>
    <x v="2"/>
    <x v="2"/>
    <x v="9"/>
    <x v="44"/>
    <x v="73"/>
    <n v="2"/>
    <x v="3"/>
    <x v="3"/>
    <x v="2"/>
    <x v="3"/>
    <x v="2"/>
    <x v="1"/>
    <x v="7"/>
  </r>
  <r>
    <x v="204"/>
    <x v="0"/>
    <x v="0"/>
    <x v="0"/>
    <x v="8"/>
    <x v="63"/>
    <x v="49"/>
    <n v="10"/>
    <x v="9"/>
    <x v="6"/>
    <x v="0"/>
    <x v="127"/>
    <x v="3"/>
    <x v="1"/>
    <x v="3"/>
  </r>
  <r>
    <x v="205"/>
    <x v="5"/>
    <x v="0"/>
    <x v="0"/>
    <x v="1"/>
    <x v="69"/>
    <x v="163"/>
    <n v="10"/>
    <x v="9"/>
    <x v="6"/>
    <x v="4"/>
    <x v="56"/>
    <x v="0"/>
    <x v="1"/>
    <x v="0"/>
  </r>
  <r>
    <x v="206"/>
    <x v="14"/>
    <x v="3"/>
    <x v="3"/>
    <x v="3"/>
    <x v="160"/>
    <x v="164"/>
    <n v="10"/>
    <x v="3"/>
    <x v="36"/>
    <x v="10"/>
    <x v="204"/>
    <x v="1"/>
    <x v="0"/>
    <x v="3"/>
  </r>
  <r>
    <x v="207"/>
    <x v="0"/>
    <x v="0"/>
    <x v="0"/>
    <x v="0"/>
    <x v="168"/>
    <x v="112"/>
    <n v="150"/>
    <x v="91"/>
    <x v="74"/>
    <x v="0"/>
    <x v="195"/>
    <x v="3"/>
    <x v="0"/>
    <x v="6"/>
  </r>
  <r>
    <x v="4"/>
    <x v="2"/>
    <x v="1"/>
    <x v="1"/>
    <x v="4"/>
    <x v="187"/>
    <x v="165"/>
    <n v="10"/>
    <x v="9"/>
    <x v="6"/>
    <x v="1"/>
    <x v="141"/>
    <x v="2"/>
    <x v="1"/>
    <x v="3"/>
  </r>
  <r>
    <x v="208"/>
    <x v="15"/>
    <x v="0"/>
    <x v="0"/>
    <x v="6"/>
    <x v="188"/>
    <x v="166"/>
    <n v="100"/>
    <x v="39"/>
    <x v="85"/>
    <x v="13"/>
    <x v="205"/>
    <x v="0"/>
    <x v="0"/>
    <x v="0"/>
  </r>
  <r>
    <x v="138"/>
    <x v="26"/>
    <x v="4"/>
    <x v="4"/>
    <x v="6"/>
    <x v="140"/>
    <x v="78"/>
    <n v="100"/>
    <x v="70"/>
    <x v="59"/>
    <x v="0"/>
    <x v="206"/>
    <x v="2"/>
    <x v="0"/>
    <x v="6"/>
  </r>
  <r>
    <x v="209"/>
    <x v="20"/>
    <x v="3"/>
    <x v="3"/>
    <x v="8"/>
    <x v="189"/>
    <x v="65"/>
    <n v="100"/>
    <x v="88"/>
    <x v="24"/>
    <x v="18"/>
    <x v="207"/>
    <x v="1"/>
    <x v="0"/>
    <x v="7"/>
  </r>
  <r>
    <x v="131"/>
    <x v="2"/>
    <x v="1"/>
    <x v="1"/>
    <x v="9"/>
    <x v="16"/>
    <x v="167"/>
    <n v="150"/>
    <x v="70"/>
    <x v="86"/>
    <x v="1"/>
    <x v="208"/>
    <x v="2"/>
    <x v="0"/>
    <x v="3"/>
  </r>
  <r>
    <x v="210"/>
    <x v="14"/>
    <x v="3"/>
    <x v="3"/>
    <x v="3"/>
    <x v="111"/>
    <x v="168"/>
    <n v="50"/>
    <x v="47"/>
    <x v="87"/>
    <x v="10"/>
    <x v="209"/>
    <x v="0"/>
    <x v="0"/>
    <x v="1"/>
  </r>
  <r>
    <x v="3"/>
    <x v="23"/>
    <x v="1"/>
    <x v="1"/>
    <x v="2"/>
    <x v="190"/>
    <x v="2"/>
    <n v="150"/>
    <x v="2"/>
    <x v="27"/>
    <x v="20"/>
    <x v="162"/>
    <x v="0"/>
    <x v="0"/>
    <x v="1"/>
  </r>
  <r>
    <x v="211"/>
    <x v="16"/>
    <x v="5"/>
    <x v="5"/>
    <x v="1"/>
    <x v="94"/>
    <x v="2"/>
    <n v="10"/>
    <x v="2"/>
    <x v="5"/>
    <x v="14"/>
    <x v="22"/>
    <x v="0"/>
    <x v="0"/>
    <x v="4"/>
  </r>
  <r>
    <x v="6"/>
    <x v="19"/>
    <x v="2"/>
    <x v="2"/>
    <x v="5"/>
    <x v="72"/>
    <x v="2"/>
    <n v="2"/>
    <x v="2"/>
    <x v="19"/>
    <x v="17"/>
    <x v="22"/>
    <x v="3"/>
    <x v="1"/>
    <x v="7"/>
  </r>
  <r>
    <x v="165"/>
    <x v="3"/>
    <x v="2"/>
    <x v="2"/>
    <x v="8"/>
    <x v="165"/>
    <x v="169"/>
    <n v="5"/>
    <x v="16"/>
    <x v="3"/>
    <x v="2"/>
    <x v="3"/>
    <x v="4"/>
    <x v="1"/>
    <x v="6"/>
  </r>
  <r>
    <x v="201"/>
    <x v="27"/>
    <x v="1"/>
    <x v="1"/>
    <x v="5"/>
    <x v="191"/>
    <x v="85"/>
    <n v="50"/>
    <x v="41"/>
    <x v="40"/>
    <x v="22"/>
    <x v="210"/>
    <x v="3"/>
    <x v="0"/>
    <x v="2"/>
  </r>
  <r>
    <x v="174"/>
    <x v="27"/>
    <x v="1"/>
    <x v="1"/>
    <x v="6"/>
    <x v="158"/>
    <x v="170"/>
    <n v="10"/>
    <x v="4"/>
    <x v="3"/>
    <x v="22"/>
    <x v="211"/>
    <x v="4"/>
    <x v="1"/>
    <x v="6"/>
  </r>
  <r>
    <x v="212"/>
    <x v="26"/>
    <x v="4"/>
    <x v="4"/>
    <x v="5"/>
    <x v="192"/>
    <x v="171"/>
    <n v="200"/>
    <x v="7"/>
    <x v="88"/>
    <x v="0"/>
    <x v="212"/>
    <x v="2"/>
    <x v="0"/>
    <x v="2"/>
  </r>
  <r>
    <x v="20"/>
    <x v="11"/>
    <x v="4"/>
    <x v="4"/>
    <x v="1"/>
    <x v="193"/>
    <x v="2"/>
    <n v="10"/>
    <x v="2"/>
    <x v="5"/>
    <x v="10"/>
    <x v="114"/>
    <x v="2"/>
    <x v="0"/>
    <x v="1"/>
  </r>
  <r>
    <x v="213"/>
    <x v="27"/>
    <x v="1"/>
    <x v="1"/>
    <x v="3"/>
    <x v="194"/>
    <x v="2"/>
    <n v="200"/>
    <x v="2"/>
    <x v="69"/>
    <x v="22"/>
    <x v="213"/>
    <x v="1"/>
    <x v="0"/>
    <x v="2"/>
  </r>
  <r>
    <x v="22"/>
    <x v="2"/>
    <x v="1"/>
    <x v="1"/>
    <x v="2"/>
    <x v="195"/>
    <x v="2"/>
    <n v="20"/>
    <x v="2"/>
    <x v="17"/>
    <x v="1"/>
    <x v="126"/>
    <x v="0"/>
    <x v="0"/>
    <x v="5"/>
  </r>
  <r>
    <x v="214"/>
    <x v="2"/>
    <x v="1"/>
    <x v="1"/>
    <x v="6"/>
    <x v="196"/>
    <x v="4"/>
    <n v="20"/>
    <x v="22"/>
    <x v="7"/>
    <x v="1"/>
    <x v="214"/>
    <x v="2"/>
    <x v="1"/>
    <x v="4"/>
  </r>
  <r>
    <x v="215"/>
    <x v="5"/>
    <x v="0"/>
    <x v="0"/>
    <x v="7"/>
    <x v="197"/>
    <x v="99"/>
    <n v="50"/>
    <x v="16"/>
    <x v="60"/>
    <x v="4"/>
    <x v="215"/>
    <x v="1"/>
    <x v="0"/>
    <x v="7"/>
  </r>
  <r>
    <x v="216"/>
    <x v="0"/>
    <x v="0"/>
    <x v="0"/>
    <x v="3"/>
    <x v="39"/>
    <x v="172"/>
    <n v="200"/>
    <x v="68"/>
    <x v="89"/>
    <x v="0"/>
    <x v="216"/>
    <x v="2"/>
    <x v="0"/>
    <x v="2"/>
  </r>
  <r>
    <x v="203"/>
    <x v="1"/>
    <x v="1"/>
    <x v="1"/>
    <x v="2"/>
    <x v="198"/>
    <x v="173"/>
    <n v="100"/>
    <x v="38"/>
    <x v="90"/>
    <x v="0"/>
    <x v="64"/>
    <x v="0"/>
    <x v="0"/>
    <x v="0"/>
  </r>
  <r>
    <x v="35"/>
    <x v="15"/>
    <x v="0"/>
    <x v="0"/>
    <x v="2"/>
    <x v="131"/>
    <x v="20"/>
    <n v="150"/>
    <x v="94"/>
    <x v="47"/>
    <x v="13"/>
    <x v="217"/>
    <x v="1"/>
    <x v="0"/>
    <x v="4"/>
  </r>
  <r>
    <x v="37"/>
    <x v="19"/>
    <x v="2"/>
    <x v="2"/>
    <x v="0"/>
    <x v="133"/>
    <x v="44"/>
    <n v="10"/>
    <x v="9"/>
    <x v="6"/>
    <x v="17"/>
    <x v="218"/>
    <x v="3"/>
    <x v="1"/>
    <x v="2"/>
  </r>
  <r>
    <x v="71"/>
    <x v="15"/>
    <x v="0"/>
    <x v="0"/>
    <x v="3"/>
    <x v="199"/>
    <x v="126"/>
    <n v="100"/>
    <x v="95"/>
    <x v="81"/>
    <x v="13"/>
    <x v="219"/>
    <x v="3"/>
    <x v="0"/>
    <x v="3"/>
  </r>
  <r>
    <x v="106"/>
    <x v="27"/>
    <x v="1"/>
    <x v="1"/>
    <x v="3"/>
    <x v="156"/>
    <x v="2"/>
    <n v="50"/>
    <x v="2"/>
    <x v="16"/>
    <x v="22"/>
    <x v="220"/>
    <x v="1"/>
    <x v="0"/>
    <x v="1"/>
  </r>
  <r>
    <x v="217"/>
    <x v="2"/>
    <x v="1"/>
    <x v="1"/>
    <x v="4"/>
    <x v="98"/>
    <x v="2"/>
    <n v="200"/>
    <x v="2"/>
    <x v="69"/>
    <x v="1"/>
    <x v="221"/>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D35655-688A-4880-AAC5-FF4D95761C67}" name="PivotTable1" cacheId="4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5:B6" firstHeaderRow="1" firstDataRow="1" firstDataCol="1" rowPageCount="2" colPageCount="1"/>
  <pivotFields count="15">
    <pivotField compact="0" outline="0" showAll="0" defaultSubtotal="0"/>
    <pivotField compact="0" outline="0" showAll="0" defaultSubtotal="0">
      <items count="28">
        <item x="22"/>
        <item x="26"/>
        <item x="16"/>
        <item x="7"/>
        <item x="13"/>
        <item x="14"/>
        <item x="1"/>
        <item x="27"/>
        <item x="5"/>
        <item x="24"/>
        <item x="9"/>
        <item x="25"/>
        <item x="23"/>
        <item x="0"/>
        <item x="10"/>
        <item x="21"/>
        <item x="3"/>
        <item x="11"/>
        <item x="12"/>
        <item x="18"/>
        <item x="6"/>
        <item x="4"/>
        <item x="20"/>
        <item x="15"/>
        <item x="2"/>
        <item x="19"/>
        <item x="17"/>
        <item x="8"/>
      </items>
    </pivotField>
    <pivotField axis="axisRow" compact="0" outline="0" showAll="0" defaultSubtotal="0">
      <items count="6">
        <item h="1" x="1"/>
        <item h="1" x="2"/>
        <item h="1" x="0"/>
        <item h="1" x="4"/>
        <item x="5"/>
        <item h="1" x="3"/>
      </items>
    </pivotField>
    <pivotField compact="0" outline="0" showAll="0" defaultSubtotal="0"/>
    <pivotField axis="axisPage" compact="0" outline="0" showAll="0" defaultSubtotal="0">
      <items count="10">
        <item x="4"/>
        <item x="0"/>
        <item x="8"/>
        <item x="7"/>
        <item x="9"/>
        <item x="1"/>
        <item x="6"/>
        <item x="3"/>
        <item x="2"/>
        <item x="5"/>
      </items>
    </pivotField>
    <pivotField compact="0" outline="0" showAll="0" defaultSubtotal="0"/>
    <pivotField compact="0" outline="0" showAll="0" defaultSubtotal="0"/>
    <pivotField compact="0" numFmtId="3" outline="0" showAll="0" defaultSubtotal="0"/>
    <pivotField compact="0" numFmtId="3" outline="0" showAll="0" defaultSubtotal="0"/>
    <pivotField compact="0" numFmtId="3" outline="0" showAll="0" defaultSubtotal="0"/>
    <pivotField compact="0" numFmtId="3" outline="0" showAll="0" defaultSubtotal="0"/>
    <pivotField dataField="1" compact="0" numFmtId="3" outline="0" showAll="0" defaultSubtotal="0"/>
    <pivotField compact="0" outline="0" showAll="0" defaultSubtotal="0">
      <items count="5">
        <item h="1" x="0"/>
        <item h="1" x="1"/>
        <item h="1" x="3"/>
        <item h="1" x="4"/>
        <item x="2"/>
      </items>
    </pivotField>
    <pivotField axis="axisPage" compact="0" outline="0" showAll="0" defaultSubtotal="0">
      <items count="3">
        <item x="2"/>
        <item x="1"/>
        <item x="0"/>
      </items>
    </pivotField>
    <pivotField compact="0" outline="0" showAll="0" defaultSubtotal="0"/>
  </pivotFields>
  <rowFields count="1">
    <field x="2"/>
  </rowFields>
  <rowItems count="1">
    <i t="grand">
      <x/>
    </i>
  </rowItems>
  <colItems count="1">
    <i/>
  </colItems>
  <pageFields count="2">
    <pageField fld="13" item="1" hier="-1"/>
    <pageField fld="4" item="7" hier="-1"/>
  </pageFields>
  <dataFields count="1">
    <dataField name="Sum of Total Nilai Persediaan" fld="11" baseField="0" baseItem="0" numFmtId="3"/>
  </dataFields>
  <formats count="6">
    <format dxfId="214">
      <pivotArea type="all" dataOnly="0" outline="0" fieldPosition="0"/>
    </format>
    <format dxfId="215">
      <pivotArea outline="0" collapsedLevelsAreSubtotals="1" fieldPosition="0"/>
    </format>
    <format dxfId="216">
      <pivotArea field="1" type="button" dataOnly="0" labelOnly="1" outline="0"/>
    </format>
    <format dxfId="217">
      <pivotArea field="2" type="button" dataOnly="0" labelOnly="1" outline="0" axis="axisRow" fieldPosition="0"/>
    </format>
    <format dxfId="218">
      <pivotArea dataOnly="0" labelOnly="1" grandRow="1" outline="0" fieldPosition="0"/>
    </format>
    <format dxfId="219">
      <pivotArea dataOnly="0" labelOnly="1" outline="0" axis="axisValues" fieldPosition="0"/>
    </format>
  </format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3A9FF7-EC8A-4358-8ED6-9A7AB7F4AE19}" name="PivotTable5"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Tanggal Masuk">
  <location ref="N5:O6" firstHeaderRow="0" firstDataRow="1" firstDataCol="0" rowPageCount="2" colPageCount="1"/>
  <pivotFields count="15">
    <pivotField showAll="0"/>
    <pivotField showAll="0"/>
    <pivotField axis="axisPage" showAll="0">
      <items count="7">
        <item x="1"/>
        <item x="2"/>
        <item x="0"/>
        <item x="4"/>
        <item x="5"/>
        <item x="3"/>
        <item t="default"/>
      </items>
    </pivotField>
    <pivotField showAll="0"/>
    <pivotField axis="axisPage" showAll="0">
      <items count="11">
        <item x="4"/>
        <item x="0"/>
        <item x="8"/>
        <item x="7"/>
        <item x="9"/>
        <item x="1"/>
        <item x="6"/>
        <item x="3"/>
        <item x="2"/>
        <item x="5"/>
        <item t="default"/>
      </items>
    </pivotField>
    <pivotField showAll="0">
      <items count="201">
        <item x="12"/>
        <item x="79"/>
        <item x="125"/>
        <item x="61"/>
        <item x="38"/>
        <item x="187"/>
        <item x="39"/>
        <item x="49"/>
        <item x="176"/>
        <item x="118"/>
        <item x="16"/>
        <item x="101"/>
        <item x="154"/>
        <item x="66"/>
        <item x="102"/>
        <item x="143"/>
        <item x="113"/>
        <item x="112"/>
        <item x="40"/>
        <item x="172"/>
        <item x="85"/>
        <item x="90"/>
        <item x="87"/>
        <item x="152"/>
        <item x="164"/>
        <item x="130"/>
        <item x="95"/>
        <item x="188"/>
        <item x="189"/>
        <item x="72"/>
        <item x="115"/>
        <item x="63"/>
        <item x="89"/>
        <item x="155"/>
        <item x="142"/>
        <item x="122"/>
        <item x="159"/>
        <item x="177"/>
        <item x="13"/>
        <item x="135"/>
        <item x="128"/>
        <item x="51"/>
        <item x="73"/>
        <item x="33"/>
        <item x="60"/>
        <item x="67"/>
        <item x="65"/>
        <item x="151"/>
        <item x="24"/>
        <item x="199"/>
        <item x="26"/>
        <item x="25"/>
        <item x="30"/>
        <item x="195"/>
        <item x="131"/>
        <item x="52"/>
        <item x="149"/>
        <item x="160"/>
        <item x="175"/>
        <item x="99"/>
        <item x="108"/>
        <item x="5"/>
        <item x="106"/>
        <item x="197"/>
        <item x="1"/>
        <item x="104"/>
        <item x="182"/>
        <item x="91"/>
        <item x="74"/>
        <item x="53"/>
        <item x="162"/>
        <item x="2"/>
        <item x="42"/>
        <item x="8"/>
        <item x="68"/>
        <item x="144"/>
        <item x="77"/>
        <item x="169"/>
        <item x="139"/>
        <item x="100"/>
        <item x="192"/>
        <item x="147"/>
        <item x="114"/>
        <item x="140"/>
        <item x="183"/>
        <item x="23"/>
        <item x="43"/>
        <item x="9"/>
        <item x="14"/>
        <item x="146"/>
        <item x="170"/>
        <item x="93"/>
        <item x="62"/>
        <item x="173"/>
        <item x="32"/>
        <item x="156"/>
        <item x="123"/>
        <item x="50"/>
        <item x="97"/>
        <item x="59"/>
        <item x="31"/>
        <item x="6"/>
        <item x="81"/>
        <item x="119"/>
        <item x="57"/>
        <item x="141"/>
        <item x="37"/>
        <item x="133"/>
        <item x="7"/>
        <item x="165"/>
        <item x="138"/>
        <item x="166"/>
        <item x="174"/>
        <item x="44"/>
        <item x="55"/>
        <item x="185"/>
        <item x="134"/>
        <item x="157"/>
        <item x="96"/>
        <item x="109"/>
        <item x="145"/>
        <item x="137"/>
        <item x="58"/>
        <item x="171"/>
        <item x="21"/>
        <item x="48"/>
        <item x="168"/>
        <item x="0"/>
        <item x="18"/>
        <item x="76"/>
        <item x="179"/>
        <item x="29"/>
        <item x="88"/>
        <item x="186"/>
        <item x="10"/>
        <item x="163"/>
        <item x="46"/>
        <item x="194"/>
        <item x="158"/>
        <item x="148"/>
        <item x="54"/>
        <item x="78"/>
        <item x="161"/>
        <item x="132"/>
        <item x="190"/>
        <item x="34"/>
        <item x="94"/>
        <item x="127"/>
        <item x="56"/>
        <item x="126"/>
        <item x="136"/>
        <item x="110"/>
        <item x="35"/>
        <item x="28"/>
        <item x="105"/>
        <item x="22"/>
        <item x="75"/>
        <item x="92"/>
        <item x="4"/>
        <item x="198"/>
        <item x="196"/>
        <item x="47"/>
        <item x="80"/>
        <item x="27"/>
        <item x="120"/>
        <item x="82"/>
        <item x="116"/>
        <item x="167"/>
        <item x="181"/>
        <item x="153"/>
        <item x="41"/>
        <item x="64"/>
        <item x="84"/>
        <item x="11"/>
        <item x="83"/>
        <item x="71"/>
        <item x="17"/>
        <item x="19"/>
        <item x="193"/>
        <item x="117"/>
        <item x="180"/>
        <item x="103"/>
        <item x="111"/>
        <item x="3"/>
        <item x="86"/>
        <item x="70"/>
        <item x="121"/>
        <item x="129"/>
        <item x="98"/>
        <item x="191"/>
        <item x="150"/>
        <item x="69"/>
        <item x="107"/>
        <item x="15"/>
        <item x="124"/>
        <item x="20"/>
        <item x="178"/>
        <item x="45"/>
        <item x="184"/>
        <item x="36"/>
        <item t="default"/>
      </items>
    </pivotField>
    <pivotField showAll="0"/>
    <pivotField dataField="1" numFmtId="3" showAll="0"/>
    <pivotField dataField="1" numFmtId="3" showAll="0"/>
    <pivotField numFmtId="3" showAll="0"/>
    <pivotField numFmtId="3" showAll="0"/>
    <pivotField numFmtId="3" showAll="0"/>
    <pivotField showAll="0"/>
    <pivotField showAll="0"/>
    <pivotField showAll="0"/>
  </pivotFields>
  <rowItems count="1">
    <i/>
  </rowItems>
  <colFields count="1">
    <field x="-2"/>
  </colFields>
  <colItems count="2">
    <i>
      <x/>
    </i>
    <i i="1">
      <x v="1"/>
    </i>
  </colItems>
  <pageFields count="2">
    <pageField fld="4" hier="-1"/>
    <pageField fld="2" item="4" hier="-1"/>
  </pageFields>
  <dataFields count="2">
    <dataField name="Sum of Jumlah Masuk" fld="7" baseField="0" baseItem="0" numFmtId="3"/>
    <dataField name="Sum of Jumlah Keluar" fld="8" baseField="0" baseItem="0" numFmtId="3"/>
  </dataFields>
  <formats count="5">
    <format dxfId="236">
      <pivotArea type="all" dataOnly="0" outline="0" fieldPosition="0"/>
    </format>
    <format dxfId="237">
      <pivotArea outline="0" collapsedLevelsAreSubtotals="1" fieldPosition="0"/>
    </format>
    <format dxfId="238">
      <pivotArea field="5" type="button" dataOnly="0" labelOnly="1" outline="0"/>
    </format>
    <format dxfId="239">
      <pivotArea dataOnly="0" labelOnly="1" grandRow="1" outline="0" fieldPosition="0"/>
    </format>
    <format dxfId="240">
      <pivotArea dataOnly="0" labelOnly="1" outline="0" fieldPosition="0">
        <references count="1">
          <reference field="4294967294" count="2">
            <x v="0"/>
            <x v="1"/>
          </reference>
        </references>
      </pivotArea>
    </format>
  </formats>
  <chartFormats count="2">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442986-D737-48B0-B8F0-A06A9B54CF2D}" name="PivotTable4"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tatus Barang">
  <location ref="K5:L9" firstHeaderRow="1" firstDataRow="1" firstDataCol="1" rowPageCount="2" colPageCount="1"/>
  <pivotFields count="15">
    <pivotField dataField="1" showAll="0"/>
    <pivotField showAll="0"/>
    <pivotField axis="axisPage" showAll="0">
      <items count="7">
        <item x="1"/>
        <item x="2"/>
        <item x="0"/>
        <item x="4"/>
        <item x="5"/>
        <item x="3"/>
        <item t="default"/>
      </items>
    </pivotField>
    <pivotField showAll="0"/>
    <pivotField axis="axisPage" showAll="0">
      <items count="11">
        <item x="4"/>
        <item x="0"/>
        <item x="8"/>
        <item x="7"/>
        <item x="9"/>
        <item x="1"/>
        <item x="6"/>
        <item x="3"/>
        <item x="2"/>
        <item x="5"/>
        <item t="default"/>
      </items>
    </pivotField>
    <pivotField showAll="0"/>
    <pivotField showAll="0"/>
    <pivotField numFmtId="3" showAll="0"/>
    <pivotField numFmtId="3" showAll="0"/>
    <pivotField numFmtId="3" showAll="0"/>
    <pivotField numFmtId="3" showAll="0"/>
    <pivotField numFmtId="3" showAll="0"/>
    <pivotField showAll="0"/>
    <pivotField axis="axisRow" showAll="0">
      <items count="4">
        <item x="2"/>
        <item x="1"/>
        <item x="0"/>
        <item t="default"/>
      </items>
    </pivotField>
    <pivotField showAll="0"/>
  </pivotFields>
  <rowFields count="1">
    <field x="13"/>
  </rowFields>
  <rowItems count="4">
    <i>
      <x/>
    </i>
    <i>
      <x v="1"/>
    </i>
    <i>
      <x v="2"/>
    </i>
    <i t="grand">
      <x/>
    </i>
  </rowItems>
  <colItems count="1">
    <i/>
  </colItems>
  <pageFields count="2">
    <pageField fld="4" hier="-1"/>
    <pageField fld="2" item="4" hier="-1"/>
  </pageFields>
  <dataFields count="1">
    <dataField name="Count of Kode Barang" fld="0" subtotal="count" baseField="13" baseItem="0"/>
  </dataFields>
  <formats count="6">
    <format dxfId="241">
      <pivotArea type="all" dataOnly="0" outline="0" fieldPosition="0"/>
    </format>
    <format dxfId="242">
      <pivotArea outline="0" collapsedLevelsAreSubtotals="1" fieldPosition="0"/>
    </format>
    <format dxfId="243">
      <pivotArea field="13" type="button" dataOnly="0" labelOnly="1" outline="0" axis="axisRow" fieldPosition="0"/>
    </format>
    <format dxfId="244">
      <pivotArea dataOnly="0" labelOnly="1" fieldPosition="0">
        <references count="1">
          <reference field="13" count="0"/>
        </references>
      </pivotArea>
    </format>
    <format dxfId="245">
      <pivotArea dataOnly="0" labelOnly="1" grandRow="1" outline="0" fieldPosition="0"/>
    </format>
    <format dxfId="246">
      <pivotArea dataOnly="0" labelOnly="1" outline="0" axis="axisValues" fieldPosition="0"/>
    </format>
  </formats>
  <chartFormats count="3">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3" count="1" selected="0">
            <x v="1"/>
          </reference>
        </references>
      </pivotArea>
    </chartFormat>
    <chartFormat chart="2" format="3">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FE0F3B-BBCF-4CBD-9E73-157E05D4EC92}" name="PivotTable3"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fieldListSortAscending="1">
  <location ref="H3:I9" firstHeaderRow="1" firstDataRow="1" firstDataCol="1"/>
  <pivotFields count="15">
    <pivotField showAll="0"/>
    <pivotField axis="axisRow" showAll="0" measureFilter="1" sortType="ascending">
      <items count="29">
        <item x="22"/>
        <item x="26"/>
        <item x="16"/>
        <item x="7"/>
        <item x="13"/>
        <item x="14"/>
        <item x="1"/>
        <item x="27"/>
        <item x="5"/>
        <item x="24"/>
        <item x="9"/>
        <item x="25"/>
        <item x="23"/>
        <item x="0"/>
        <item x="10"/>
        <item x="21"/>
        <item x="3"/>
        <item x="11"/>
        <item x="12"/>
        <item x="18"/>
        <item x="6"/>
        <item x="4"/>
        <item x="20"/>
        <item x="15"/>
        <item x="2"/>
        <item x="19"/>
        <item x="17"/>
        <item x="8"/>
        <item t="default"/>
      </items>
      <autoSortScope>
        <pivotArea dataOnly="0" outline="0" fieldPosition="0">
          <references count="1">
            <reference field="4294967294" count="1" selected="0">
              <x v="0"/>
            </reference>
          </references>
        </pivotArea>
      </autoSortScope>
    </pivotField>
    <pivotField showAll="0">
      <items count="7">
        <item h="1" x="1"/>
        <item h="1" x="2"/>
        <item h="1" x="0"/>
        <item h="1" x="4"/>
        <item x="5"/>
        <item h="1" x="3"/>
        <item t="default"/>
      </items>
    </pivotField>
    <pivotField showAll="0"/>
    <pivotField showAll="0"/>
    <pivotField showAll="0"/>
    <pivotField showAll="0"/>
    <pivotField numFmtId="3" showAll="0"/>
    <pivotField numFmtId="3" showAll="0"/>
    <pivotField numFmtId="3" showAll="0"/>
    <pivotField numFmtId="3" showAll="0"/>
    <pivotField dataField="1" numFmtId="3" showAll="0"/>
    <pivotField showAll="0">
      <items count="6">
        <item x="0"/>
        <item x="1"/>
        <item x="3"/>
        <item x="4"/>
        <item x="2"/>
        <item t="default"/>
      </items>
    </pivotField>
    <pivotField showAll="0"/>
    <pivotField showAll="0"/>
  </pivotFields>
  <rowFields count="1">
    <field x="1"/>
  </rowFields>
  <rowItems count="6">
    <i>
      <x/>
    </i>
    <i>
      <x v="14"/>
    </i>
    <i>
      <x v="4"/>
    </i>
    <i>
      <x v="2"/>
    </i>
    <i>
      <x v="19"/>
    </i>
    <i t="grand">
      <x/>
    </i>
  </rowItems>
  <colItems count="1">
    <i/>
  </colItems>
  <dataFields count="1">
    <dataField name="Sum of Total Nilai Persediaan" fld="11" baseField="0" baseItem="0" numFmtId="3"/>
  </dataFields>
  <formats count="5">
    <format dxfId="247">
      <pivotArea type="all" dataOnly="0" outline="0" fieldPosition="0"/>
    </format>
    <format dxfId="248">
      <pivotArea outline="0" collapsedLevelsAreSubtotals="1" fieldPosition="0"/>
    </format>
    <format dxfId="249">
      <pivotArea field="12" type="button" dataOnly="0" labelOnly="1" outline="0"/>
    </format>
    <format dxfId="250">
      <pivotArea dataOnly="0" labelOnly="1" grandRow="1" outline="0" fieldPosition="0"/>
    </format>
    <format dxfId="251">
      <pivotArea dataOnly="0" labelOnly="1" outline="0" axis="axisValues" fieldPosition="0"/>
    </format>
  </formats>
  <chartFormats count="6">
    <chartFormat chart="2" format="1"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0" format="2">
      <pivotArea type="data" outline="0" fieldPosition="0">
        <references count="2">
          <reference field="4294967294" count="1" selected="0">
            <x v="0"/>
          </reference>
          <reference field="1" count="1" selected="0">
            <x v="26"/>
          </reference>
        </references>
      </pivotArea>
    </chartFormat>
    <chartFormat chart="10" format="3">
      <pivotArea type="data" outline="0" fieldPosition="0">
        <references count="2">
          <reference field="4294967294" count="1" selected="0">
            <x v="0"/>
          </reference>
          <reference field="1" count="1" selected="0">
            <x v="1"/>
          </reference>
        </references>
      </pivotArea>
    </chartFormat>
    <chartFormat chart="10" format="4">
      <pivotArea type="data" outline="0" fieldPosition="0">
        <references count="2">
          <reference field="4294967294" count="1" selected="0">
            <x v="0"/>
          </reference>
          <reference field="1" count="1" selected="0">
            <x v="10"/>
          </reference>
        </references>
      </pivotArea>
    </chartFormat>
    <chartFormat chart="10" format="5">
      <pivotArea type="data" outline="0" fieldPosition="0">
        <references count="2">
          <reference field="4294967294" count="1" selected="0">
            <x v="0"/>
          </reference>
          <reference field="1" count="1" selected="0">
            <x v="17"/>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5F4BA36-F75A-4E93-A90E-10896A069E8B}" name="PivotTable2"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Status">
  <location ref="E5:F15" firstHeaderRow="1" firstDataRow="1" firstDataCol="1" rowPageCount="2" colPageCount="1"/>
  <pivotFields count="15">
    <pivotField showAll="0"/>
    <pivotField showAll="0"/>
    <pivotField axis="axisPage" showAll="0">
      <items count="7">
        <item x="1"/>
        <item x="2"/>
        <item x="0"/>
        <item x="4"/>
        <item x="5"/>
        <item x="3"/>
        <item t="default"/>
      </items>
    </pivotField>
    <pivotField showAll="0"/>
    <pivotField axis="axisRow" showAll="0">
      <items count="11">
        <item x="4"/>
        <item x="0"/>
        <item x="8"/>
        <item x="7"/>
        <item x="9"/>
        <item x="1"/>
        <item x="6"/>
        <item x="3"/>
        <item x="2"/>
        <item x="5"/>
        <item t="default"/>
      </items>
    </pivotField>
    <pivotField showAll="0"/>
    <pivotField showAll="0"/>
    <pivotField numFmtId="3" showAll="0"/>
    <pivotField numFmtId="3" showAll="0"/>
    <pivotField numFmtId="3" showAll="0"/>
    <pivotField numFmtId="3" showAll="0"/>
    <pivotField dataField="1" numFmtId="3" showAll="0"/>
    <pivotField showAll="0"/>
    <pivotField axis="axisPage" showAll="0">
      <items count="4">
        <item x="2"/>
        <item x="1"/>
        <item x="0"/>
        <item t="default"/>
      </items>
    </pivotField>
    <pivotField showAll="0"/>
  </pivotFields>
  <rowFields count="1">
    <field x="4"/>
  </rowFields>
  <rowItems count="10">
    <i>
      <x v="1"/>
    </i>
    <i>
      <x v="2"/>
    </i>
    <i>
      <x v="3"/>
    </i>
    <i>
      <x v="4"/>
    </i>
    <i>
      <x v="5"/>
    </i>
    <i>
      <x v="6"/>
    </i>
    <i>
      <x v="7"/>
    </i>
    <i>
      <x v="8"/>
    </i>
    <i>
      <x v="9"/>
    </i>
    <i t="grand">
      <x/>
    </i>
  </rowItems>
  <colItems count="1">
    <i/>
  </colItems>
  <pageFields count="2">
    <pageField fld="13" hier="-1"/>
    <pageField fld="2" item="4" hier="-1"/>
  </pageFields>
  <dataFields count="1">
    <dataField name="Sum of Total Nilai Persediaan" fld="11" baseField="0" baseItem="0" numFmtId="3"/>
  </dataFields>
  <formats count="6">
    <format dxfId="230">
      <pivotArea type="all" dataOnly="0" outline="0" fieldPosition="0"/>
    </format>
    <format dxfId="231">
      <pivotArea outline="0" collapsedLevelsAreSubtotals="1" fieldPosition="0"/>
    </format>
    <format dxfId="232">
      <pivotArea field="4" type="button" dataOnly="0" labelOnly="1" outline="0" axis="axisRow" fieldPosition="0"/>
    </format>
    <format dxfId="233">
      <pivotArea dataOnly="0" labelOnly="1" fieldPosition="0">
        <references count="1">
          <reference field="4" count="0"/>
        </references>
      </pivotArea>
    </format>
    <format dxfId="234">
      <pivotArea dataOnly="0" labelOnly="1" grandRow="1" outline="0" fieldPosition="0"/>
    </format>
    <format dxfId="235">
      <pivotArea dataOnly="0" labelOnly="1" outline="0" axis="axisValues" fieldPosition="0"/>
    </format>
  </formats>
  <chartFormats count="5">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4" count="1" selected="0">
            <x v="6"/>
          </reference>
        </references>
      </pivotArea>
    </chartFormat>
    <chartFormat chart="4" format="3">
      <pivotArea type="data" outline="0" fieldPosition="0">
        <references count="2">
          <reference field="4294967294" count="1" selected="0">
            <x v="0"/>
          </reference>
          <reference field="4" count="1" selected="0">
            <x v="7"/>
          </reference>
        </references>
      </pivotArea>
    </chartFormat>
    <chartFormat chart="4" format="4">
      <pivotArea type="data" outline="0" fieldPosition="0">
        <references count="2">
          <reference field="4294967294" count="1" selected="0">
            <x v="0"/>
          </reference>
          <reference field="4" count="1" selected="0">
            <x v="8"/>
          </reference>
        </references>
      </pivotArea>
    </chartFormat>
    <chartFormat chart="4" format="5">
      <pivotArea type="data" outline="0" fieldPosition="0">
        <references count="2">
          <reference field="4294967294" count="1" selected="0">
            <x v="0"/>
          </reference>
          <reference field="4"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ategori_Barang" xr10:uid="{BC285C17-44C2-4E5D-BBD8-FA992E2E0C9E}" sourceName="Kategori Barang">
  <pivotTables>
    <pivotTable tabId="4" name="PivotTable1"/>
    <pivotTable tabId="4" name="PivotTable2"/>
    <pivotTable tabId="4" name="PivotTable3"/>
    <pivotTable tabId="4" name="PivotTable4"/>
    <pivotTable tabId="4" name="PivotTable5"/>
  </pivotTables>
  <data>
    <tabular pivotCacheId="1989690136">
      <items count="6">
        <i x="1"/>
        <i x="2"/>
        <i x="0"/>
        <i x="4"/>
        <i x="5" s="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 xr10:uid="{28CF945E-28E8-45B8-AA95-F9C26324B9CB}" sourceName="Supplier">
  <pivotTables>
    <pivotTable tabId="4" name="PivotTable1"/>
  </pivotTables>
  <data>
    <tabular pivotCacheId="1989690136">
      <items count="10">
        <i x="0"/>
        <i x="5"/>
        <i x="4" nd="1"/>
        <i x="8" nd="1"/>
        <i x="7" nd="1"/>
        <i x="9" nd="1"/>
        <i x="1" nd="1"/>
        <i x="6" nd="1"/>
        <i x="3" s="1" nd="1"/>
        <i x="2"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kasi_Penyimpanan" xr10:uid="{AE73B5B3-ABFE-4687-A080-FB483CE39B12}" sourceName="Lokasi Penyimpanan">
  <pivotTables>
    <pivotTable tabId="4" name="PivotTable1"/>
  </pivotTables>
  <data>
    <tabular pivotCacheId="1989690136">
      <items count="5">
        <i x="0"/>
        <i x="3"/>
        <i x="1" nd="1"/>
        <i x="4" nd="1"/>
        <i x="2"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8A690F22-1E1E-4E7E-819C-77C69B49D884}" sourceName="Status">
  <pivotTables>
    <pivotTable tabId="4" name="PivotTable1"/>
  </pivotTables>
  <data>
    <tabular pivotCacheId="1989690136">
      <items count="3">
        <i x="0"/>
        <i x="2" nd="1"/>
        <i x="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Kategori Barang" xr10:uid="{D6DF58BF-8D29-4254-AAD3-299828C67344}" cache="Slicer_Kategori_Barang" caption="Kategori Barang" rowHeight="241300"/>
  <slicer name="Supplier" xr10:uid="{7B581BB9-2903-401F-8FCF-1C90AC60CE22}" cache="Slicer_Supplier" caption="Supplier" startItem="1" rowHeight="241300"/>
  <slicer name="Lokasi Penyimpanan" xr10:uid="{0042A4D1-0793-4CA5-BB85-C6A26352DD66}" cache="Slicer_Lokasi_Penyimpanan" caption="Lokasi Penyimpanan" rowHeight="241300"/>
  <slicer name="Status" xr10:uid="{447BB83A-8A8C-4B67-8BF6-84FA0844B2A8}" cache="Slicer_Status" caption="Statu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8D9950-2B94-4010-B799-233C39021B61}" name="Table1" displayName="Table1" ref="A4:O314" totalsRowShown="0" headerRowDxfId="252" tableBorderDxfId="268">
  <autoFilter ref="A4:O314" xr:uid="{998D9950-2B94-4010-B799-233C39021B61}"/>
  <tableColumns count="15">
    <tableColumn id="1" xr3:uid="{1C329B16-72F5-44D7-A719-90347817ACBF}" name="Kode Barang" dataDxfId="267"/>
    <tableColumn id="2" xr3:uid="{80EE329E-ADA6-48FE-80EA-4B965C4ACDF7}" name="Nama Barang" dataDxfId="266"/>
    <tableColumn id="3" xr3:uid="{EF01B7B4-F94F-45A8-9B49-5345A47D6B41}" name="Kategori Barang" dataDxfId="265"/>
    <tableColumn id="4" xr3:uid="{98DC740D-1DF3-4412-B1D9-7181E795903F}" name="Satuan" dataDxfId="264"/>
    <tableColumn id="5" xr3:uid="{3838346C-9DF2-4E2D-BB01-4F20BCEBEDBD}" name="Supplier" dataDxfId="263"/>
    <tableColumn id="6" xr3:uid="{458FFB9B-0434-4B70-A77E-F4926A8A6F7D}" name="Tanggal Masuk" dataDxfId="262"/>
    <tableColumn id="7" xr3:uid="{465E74C9-2398-46A7-9B42-2935C5160515}" name="Tanggal Keluar" dataDxfId="261"/>
    <tableColumn id="8" xr3:uid="{3252732A-4B34-47A5-9B8A-D9D13270C1EF}" name="Jumlah Masuk" dataDxfId="260"/>
    <tableColumn id="9" xr3:uid="{D4084881-7298-40B4-8E89-73738DF1B510}" name="Jumlah Keluar" dataDxfId="259"/>
    <tableColumn id="10" xr3:uid="{6C2258A1-71B1-4120-93F4-74BCE8B1545C}" name="Stok Akhir" dataDxfId="258">
      <calculatedColumnFormula>H5-I5</calculatedColumnFormula>
    </tableColumn>
    <tableColumn id="11" xr3:uid="{C2D66BB4-92E0-4369-A56E-3A2839E9A322}" name="Harga Satuan" dataDxfId="257"/>
    <tableColumn id="12" xr3:uid="{16615EC1-D3A4-4307-A7BC-D4BC2308DBA2}" name="Total Nilai Persediaan" dataDxfId="256">
      <calculatedColumnFormula>J5*K5</calculatedColumnFormula>
    </tableColumn>
    <tableColumn id="13" xr3:uid="{7732D454-72A9-4898-98BE-E14EE76AFEE7}" name="Lokasi Penyimpanan" dataDxfId="255"/>
    <tableColumn id="14" xr3:uid="{224C926E-8462-43C6-B656-6BDA16B523DB}" name="Status" dataDxfId="254">
      <calculatedColumnFormula>IF(J5&lt;=0,"Habis",IF(J5&lt;=5,"Menipis","Tersedia"))</calculatedColumnFormula>
    </tableColumn>
    <tableColumn id="15" xr3:uid="{7C76821C-CB10-453D-BD8D-452B4D2A33AD}" name="PIC" dataDxfId="253"/>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9834E30-DE6F-4F8C-9689-D9BC799E32F2}" name="Table2" displayName="Table2" ref="A3:E4" totalsRowShown="0" headerRowDxfId="221" dataDxfId="220" headerRowBorderDxfId="228" tableBorderDxfId="229" totalsRowBorderDxfId="227">
  <autoFilter ref="A3:E4" xr:uid="{89834E30-DE6F-4F8C-9689-D9BC799E32F2}"/>
  <tableColumns count="5">
    <tableColumn id="1" xr3:uid="{FBA27622-07EA-4154-BD78-A2FB5D270CCB}" name="Total Nilai Persediaan" dataDxfId="226" dataCellStyle="Comma">
      <calculatedColumnFormula>SUM(GETPIVOTDATA("Total Nilai Persediaan",PIVOT!$A$5))</calculatedColumnFormula>
    </tableColumn>
    <tableColumn id="2" xr3:uid="{B7479601-2239-499A-9BF7-6D413310CD81}" name="Jumlah Supplier" dataDxfId="225">
      <calculatedColumnFormula>SUMPRODUCT(('Raw Data'!E2:E311&lt;&gt;"")/COUNTIF('Raw Data'!E2:E311,'Raw Data'!E2:E311&amp;""))</calculatedColumnFormula>
    </tableColumn>
    <tableColumn id="4" xr3:uid="{190D39AA-CD1C-4CA5-BA9A-D3E89883954E}" name="Jumlah Barang Menipis" dataDxfId="224">
      <calculatedColumnFormula>SUM(GETPIVOTDATA("Kode Barang",PIVOT!$K$5,"Status","Menipis"))</calculatedColumnFormula>
    </tableColumn>
    <tableColumn id="5" xr3:uid="{3ED4CBB3-76DB-4104-B1D6-BAA8D0406EC2}" name="Total Barang Masuk" dataDxfId="223" dataCellStyle="Comma">
      <calculatedColumnFormula>SUM(GETPIVOTDATA("Sum of Jumlah Masuk",PIVOT!$N$5))</calculatedColumnFormula>
    </tableColumn>
    <tableColumn id="6" xr3:uid="{7B37D5C8-F086-4917-BBE2-8294852D3EE9}" name="Total Barag Keluar" dataDxfId="222" dataCellStyle="Comma">
      <calculatedColumnFormula>SUM(GETPIVOTDATA("Sum of Jumlah Keluar",PIVOT!$N$5))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2.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11"/>
  <sheetViews>
    <sheetView topLeftCell="G31" workbookViewId="0">
      <selection activeCell="C21" sqref="C21:C22"/>
    </sheetView>
  </sheetViews>
  <sheetFormatPr defaultRowHeight="14.5" x14ac:dyDescent="0.35"/>
  <cols>
    <col min="1" max="1" width="14" customWidth="1"/>
    <col min="2" max="2" width="25" customWidth="1"/>
    <col min="3" max="3" width="20" customWidth="1"/>
    <col min="4" max="4" width="12" customWidth="1"/>
    <col min="5" max="5" width="30" customWidth="1"/>
    <col min="6" max="6" width="16" customWidth="1"/>
    <col min="7" max="7" width="17" customWidth="1"/>
    <col min="8" max="8" width="15" customWidth="1"/>
    <col min="9" max="9" width="16" customWidth="1"/>
    <col min="10" max="10" width="13" customWidth="1"/>
    <col min="11" max="11" width="15" customWidth="1"/>
    <col min="12" max="12" width="25" customWidth="1"/>
    <col min="13" max="13" width="21" customWidth="1"/>
    <col min="14" max="14" width="56" customWidth="1"/>
    <col min="15" max="15" width="22" customWidth="1"/>
  </cols>
  <sheetData>
    <row r="1" spans="1:15" x14ac:dyDescent="0.35">
      <c r="A1" s="17" t="s">
        <v>592</v>
      </c>
      <c r="B1" s="17" t="s">
        <v>593</v>
      </c>
      <c r="C1" s="17" t="s">
        <v>594</v>
      </c>
      <c r="D1" s="17" t="s">
        <v>595</v>
      </c>
      <c r="E1" s="17" t="s">
        <v>596</v>
      </c>
      <c r="F1" s="17" t="s">
        <v>597</v>
      </c>
      <c r="G1" s="17" t="s">
        <v>598</v>
      </c>
      <c r="H1" s="17" t="s">
        <v>599</v>
      </c>
      <c r="I1" s="17" t="s">
        <v>600</v>
      </c>
      <c r="J1" s="17" t="s">
        <v>601</v>
      </c>
      <c r="K1" s="17" t="s">
        <v>602</v>
      </c>
      <c r="L1" s="17" t="s">
        <v>603</v>
      </c>
      <c r="M1" s="17" t="s">
        <v>604</v>
      </c>
      <c r="N1" s="17" t="s">
        <v>605</v>
      </c>
      <c r="O1" s="17" t="s">
        <v>606</v>
      </c>
    </row>
    <row r="2" spans="1:15" x14ac:dyDescent="0.35">
      <c r="A2" s="2" t="s">
        <v>15</v>
      </c>
      <c r="B2" s="2" t="s">
        <v>16</v>
      </c>
      <c r="C2" s="2" t="s">
        <v>17</v>
      </c>
      <c r="D2" s="2" t="s">
        <v>18</v>
      </c>
      <c r="E2" s="2" t="s">
        <v>19</v>
      </c>
      <c r="F2" s="3" t="s">
        <v>20</v>
      </c>
      <c r="G2" s="3" t="s">
        <v>21</v>
      </c>
      <c r="H2" s="4">
        <v>100</v>
      </c>
      <c r="I2" s="4">
        <v>84</v>
      </c>
      <c r="J2" s="4">
        <f t="shared" ref="J2:J65" si="0">H2-I2</f>
        <v>16</v>
      </c>
      <c r="K2" s="4">
        <v>45000</v>
      </c>
      <c r="L2" s="4">
        <f t="shared" ref="L2:L65" si="1">J2*K2</f>
        <v>720000</v>
      </c>
      <c r="M2" s="2" t="s">
        <v>22</v>
      </c>
      <c r="N2" s="3" t="str">
        <f t="shared" ref="N2:N65" si="2">IF(J2&lt;=0,"Habis",IF(J2&lt;=5,"Menipis","Tersedia"))</f>
        <v>Tersedia</v>
      </c>
      <c r="O2" s="2" t="s">
        <v>23</v>
      </c>
    </row>
    <row r="3" spans="1:15" x14ac:dyDescent="0.35">
      <c r="A3" s="5" t="s">
        <v>24</v>
      </c>
      <c r="B3" s="5" t="s">
        <v>25</v>
      </c>
      <c r="C3" s="5" t="s">
        <v>26</v>
      </c>
      <c r="D3" s="5" t="s">
        <v>27</v>
      </c>
      <c r="E3" s="5" t="s">
        <v>19</v>
      </c>
      <c r="F3" s="6" t="s">
        <v>28</v>
      </c>
      <c r="G3" s="6" t="s">
        <v>29</v>
      </c>
      <c r="H3" s="7">
        <v>200</v>
      </c>
      <c r="I3" s="7">
        <v>12</v>
      </c>
      <c r="J3" s="7">
        <f t="shared" si="0"/>
        <v>188</v>
      </c>
      <c r="K3" s="7">
        <v>45000</v>
      </c>
      <c r="L3" s="7">
        <f t="shared" si="1"/>
        <v>8460000</v>
      </c>
      <c r="M3" s="5" t="s">
        <v>30</v>
      </c>
      <c r="N3" s="6" t="str">
        <f t="shared" si="2"/>
        <v>Tersedia</v>
      </c>
      <c r="O3" s="5" t="s">
        <v>31</v>
      </c>
    </row>
    <row r="4" spans="1:15" x14ac:dyDescent="0.35">
      <c r="A4" s="2" t="s">
        <v>32</v>
      </c>
      <c r="B4" s="2" t="s">
        <v>33</v>
      </c>
      <c r="C4" s="2" t="s">
        <v>26</v>
      </c>
      <c r="D4" s="2" t="s">
        <v>27</v>
      </c>
      <c r="E4" s="2" t="s">
        <v>34</v>
      </c>
      <c r="F4" s="3" t="s">
        <v>29</v>
      </c>
      <c r="G4" s="3"/>
      <c r="H4" s="4">
        <v>100</v>
      </c>
      <c r="I4" s="4">
        <v>0</v>
      </c>
      <c r="J4" s="4">
        <f t="shared" si="0"/>
        <v>100</v>
      </c>
      <c r="K4" s="4">
        <v>12000</v>
      </c>
      <c r="L4" s="4">
        <f t="shared" si="1"/>
        <v>1200000</v>
      </c>
      <c r="M4" s="2" t="s">
        <v>35</v>
      </c>
      <c r="N4" s="3" t="str">
        <f t="shared" si="2"/>
        <v>Tersedia</v>
      </c>
      <c r="O4" s="2" t="s">
        <v>36</v>
      </c>
    </row>
    <row r="5" spans="1:15" x14ac:dyDescent="0.35">
      <c r="A5" s="5" t="s">
        <v>37</v>
      </c>
      <c r="B5" s="5" t="s">
        <v>38</v>
      </c>
      <c r="C5" s="5" t="s">
        <v>39</v>
      </c>
      <c r="D5" s="5" t="s">
        <v>40</v>
      </c>
      <c r="E5" s="5" t="s">
        <v>19</v>
      </c>
      <c r="F5" s="6" t="s">
        <v>41</v>
      </c>
      <c r="G5" s="6" t="s">
        <v>42</v>
      </c>
      <c r="H5" s="7">
        <v>2</v>
      </c>
      <c r="I5" s="7">
        <v>1</v>
      </c>
      <c r="J5" s="7">
        <f t="shared" si="0"/>
        <v>1</v>
      </c>
      <c r="K5" s="7">
        <v>4500000</v>
      </c>
      <c r="L5" s="7">
        <f t="shared" si="1"/>
        <v>4500000</v>
      </c>
      <c r="M5" s="5" t="s">
        <v>43</v>
      </c>
      <c r="N5" s="6" t="str">
        <f t="shared" si="2"/>
        <v>Menipis</v>
      </c>
      <c r="O5" s="5" t="s">
        <v>44</v>
      </c>
    </row>
    <row r="6" spans="1:15" x14ac:dyDescent="0.35">
      <c r="A6" s="2" t="s">
        <v>45</v>
      </c>
      <c r="B6" s="2" t="s">
        <v>46</v>
      </c>
      <c r="C6" s="2" t="s">
        <v>26</v>
      </c>
      <c r="D6" s="2" t="s">
        <v>27</v>
      </c>
      <c r="E6" s="2" t="s">
        <v>47</v>
      </c>
      <c r="F6" s="3" t="s">
        <v>48</v>
      </c>
      <c r="G6" s="3" t="s">
        <v>49</v>
      </c>
      <c r="H6" s="4">
        <v>100</v>
      </c>
      <c r="I6" s="4">
        <v>9</v>
      </c>
      <c r="J6" s="4">
        <f t="shared" si="0"/>
        <v>91</v>
      </c>
      <c r="K6" s="4">
        <v>35000</v>
      </c>
      <c r="L6" s="4">
        <f t="shared" si="1"/>
        <v>3185000</v>
      </c>
      <c r="M6" s="2" t="s">
        <v>35</v>
      </c>
      <c r="N6" s="3" t="str">
        <f t="shared" si="2"/>
        <v>Tersedia</v>
      </c>
      <c r="O6" s="2" t="s">
        <v>44</v>
      </c>
    </row>
    <row r="7" spans="1:15" x14ac:dyDescent="0.35">
      <c r="A7" s="5" t="s">
        <v>50</v>
      </c>
      <c r="B7" s="5" t="s">
        <v>51</v>
      </c>
      <c r="C7" s="5" t="s">
        <v>17</v>
      </c>
      <c r="D7" s="5" t="s">
        <v>18</v>
      </c>
      <c r="E7" s="5" t="s">
        <v>52</v>
      </c>
      <c r="F7" s="6" t="s">
        <v>53</v>
      </c>
      <c r="G7" s="6"/>
      <c r="H7" s="7">
        <v>10</v>
      </c>
      <c r="I7" s="7">
        <v>0</v>
      </c>
      <c r="J7" s="7">
        <f t="shared" si="0"/>
        <v>10</v>
      </c>
      <c r="K7" s="7">
        <v>150000</v>
      </c>
      <c r="L7" s="7">
        <f t="shared" si="1"/>
        <v>1500000</v>
      </c>
      <c r="M7" s="5" t="s">
        <v>43</v>
      </c>
      <c r="N7" s="6" t="str">
        <f t="shared" si="2"/>
        <v>Tersedia</v>
      </c>
      <c r="O7" s="5" t="s">
        <v>44</v>
      </c>
    </row>
    <row r="8" spans="1:15" x14ac:dyDescent="0.35">
      <c r="A8" s="2" t="s">
        <v>54</v>
      </c>
      <c r="B8" s="2" t="s">
        <v>55</v>
      </c>
      <c r="C8" s="2" t="s">
        <v>39</v>
      </c>
      <c r="D8" s="2" t="s">
        <v>40</v>
      </c>
      <c r="E8" s="2" t="s">
        <v>56</v>
      </c>
      <c r="F8" s="3" t="s">
        <v>57</v>
      </c>
      <c r="G8" s="3" t="s">
        <v>58</v>
      </c>
      <c r="H8" s="4">
        <v>5</v>
      </c>
      <c r="I8" s="4">
        <v>2</v>
      </c>
      <c r="J8" s="4">
        <f t="shared" si="0"/>
        <v>3</v>
      </c>
      <c r="K8" s="4">
        <v>1850000</v>
      </c>
      <c r="L8" s="4">
        <f t="shared" si="1"/>
        <v>5550000</v>
      </c>
      <c r="M8" s="2" t="s">
        <v>22</v>
      </c>
      <c r="N8" s="3" t="str">
        <f t="shared" si="2"/>
        <v>Menipis</v>
      </c>
      <c r="O8" s="2" t="s">
        <v>59</v>
      </c>
    </row>
    <row r="9" spans="1:15" x14ac:dyDescent="0.35">
      <c r="A9" s="5" t="s">
        <v>60</v>
      </c>
      <c r="B9" s="5" t="s">
        <v>61</v>
      </c>
      <c r="C9" s="5" t="s">
        <v>62</v>
      </c>
      <c r="D9" s="5" t="s">
        <v>63</v>
      </c>
      <c r="E9" s="5" t="s">
        <v>64</v>
      </c>
      <c r="F9" s="6" t="s">
        <v>65</v>
      </c>
      <c r="G9" s="6"/>
      <c r="H9" s="7">
        <v>100</v>
      </c>
      <c r="I9" s="7">
        <v>0</v>
      </c>
      <c r="J9" s="7">
        <f t="shared" si="0"/>
        <v>100</v>
      </c>
      <c r="K9" s="7">
        <v>350000</v>
      </c>
      <c r="L9" s="7">
        <f t="shared" si="1"/>
        <v>35000000</v>
      </c>
      <c r="M9" s="5" t="s">
        <v>43</v>
      </c>
      <c r="N9" s="6" t="str">
        <f t="shared" si="2"/>
        <v>Tersedia</v>
      </c>
      <c r="O9" s="5" t="s">
        <v>31</v>
      </c>
    </row>
    <row r="10" spans="1:15" x14ac:dyDescent="0.35">
      <c r="A10" s="2" t="s">
        <v>66</v>
      </c>
      <c r="B10" s="2" t="s">
        <v>67</v>
      </c>
      <c r="C10" s="2" t="s">
        <v>39</v>
      </c>
      <c r="D10" s="2" t="s">
        <v>40</v>
      </c>
      <c r="E10" s="2" t="s">
        <v>68</v>
      </c>
      <c r="F10" s="3" t="s">
        <v>69</v>
      </c>
      <c r="G10" s="3"/>
      <c r="H10" s="4">
        <v>5</v>
      </c>
      <c r="I10" s="4">
        <v>0</v>
      </c>
      <c r="J10" s="4">
        <f t="shared" si="0"/>
        <v>5</v>
      </c>
      <c r="K10" s="4">
        <v>3800000</v>
      </c>
      <c r="L10" s="4">
        <f t="shared" si="1"/>
        <v>19000000</v>
      </c>
      <c r="M10" s="2" t="s">
        <v>30</v>
      </c>
      <c r="N10" s="3" t="str">
        <f t="shared" si="2"/>
        <v>Menipis</v>
      </c>
      <c r="O10" s="2" t="s">
        <v>70</v>
      </c>
    </row>
    <row r="11" spans="1:15" x14ac:dyDescent="0.35">
      <c r="A11" s="5" t="s">
        <v>71</v>
      </c>
      <c r="B11" s="5" t="s">
        <v>72</v>
      </c>
      <c r="C11" s="5" t="s">
        <v>73</v>
      </c>
      <c r="D11" s="5" t="s">
        <v>74</v>
      </c>
      <c r="E11" s="5" t="s">
        <v>52</v>
      </c>
      <c r="F11" s="6" t="s">
        <v>75</v>
      </c>
      <c r="G11" s="6"/>
      <c r="H11" s="7">
        <v>100</v>
      </c>
      <c r="I11" s="7">
        <v>0</v>
      </c>
      <c r="J11" s="7">
        <f t="shared" si="0"/>
        <v>100</v>
      </c>
      <c r="K11" s="7">
        <v>240000</v>
      </c>
      <c r="L11" s="7">
        <f t="shared" si="1"/>
        <v>24000000</v>
      </c>
      <c r="M11" s="5" t="s">
        <v>35</v>
      </c>
      <c r="N11" s="6" t="str">
        <f t="shared" si="2"/>
        <v>Tersedia</v>
      </c>
      <c r="O11" s="5" t="s">
        <v>76</v>
      </c>
    </row>
    <row r="12" spans="1:15" x14ac:dyDescent="0.35">
      <c r="A12" s="2" t="s">
        <v>77</v>
      </c>
      <c r="B12" s="2" t="s">
        <v>16</v>
      </c>
      <c r="C12" s="2" t="s">
        <v>17</v>
      </c>
      <c r="D12" s="2" t="s">
        <v>18</v>
      </c>
      <c r="E12" s="2" t="s">
        <v>47</v>
      </c>
      <c r="F12" s="3" t="s">
        <v>29</v>
      </c>
      <c r="G12" s="3" t="s">
        <v>78</v>
      </c>
      <c r="H12" s="4">
        <v>100</v>
      </c>
      <c r="I12" s="4">
        <v>21</v>
      </c>
      <c r="J12" s="4">
        <f t="shared" si="0"/>
        <v>79</v>
      </c>
      <c r="K12" s="4">
        <v>45000</v>
      </c>
      <c r="L12" s="4">
        <f t="shared" si="1"/>
        <v>3555000</v>
      </c>
      <c r="M12" s="2" t="s">
        <v>30</v>
      </c>
      <c r="N12" s="3" t="str">
        <f t="shared" si="2"/>
        <v>Tersedia</v>
      </c>
      <c r="O12" s="2" t="s">
        <v>44</v>
      </c>
    </row>
    <row r="13" spans="1:15" x14ac:dyDescent="0.35">
      <c r="A13" s="5" t="s">
        <v>79</v>
      </c>
      <c r="B13" s="5" t="s">
        <v>80</v>
      </c>
      <c r="C13" s="5" t="s">
        <v>81</v>
      </c>
      <c r="D13" s="5" t="s">
        <v>82</v>
      </c>
      <c r="E13" s="5" t="s">
        <v>68</v>
      </c>
      <c r="F13" s="6" t="s">
        <v>83</v>
      </c>
      <c r="G13" s="6" t="s">
        <v>84</v>
      </c>
      <c r="H13" s="7">
        <v>150</v>
      </c>
      <c r="I13" s="7">
        <v>43</v>
      </c>
      <c r="J13" s="7">
        <f t="shared" si="0"/>
        <v>107</v>
      </c>
      <c r="K13" s="7">
        <v>280000</v>
      </c>
      <c r="L13" s="7">
        <f t="shared" si="1"/>
        <v>29960000</v>
      </c>
      <c r="M13" s="5" t="s">
        <v>85</v>
      </c>
      <c r="N13" s="6" t="str">
        <f t="shared" si="2"/>
        <v>Tersedia</v>
      </c>
      <c r="O13" s="5" t="s">
        <v>86</v>
      </c>
    </row>
    <row r="14" spans="1:15" x14ac:dyDescent="0.35">
      <c r="A14" s="2" t="s">
        <v>87</v>
      </c>
      <c r="B14" s="2" t="s">
        <v>88</v>
      </c>
      <c r="C14" s="2" t="s">
        <v>73</v>
      </c>
      <c r="D14" s="2" t="s">
        <v>74</v>
      </c>
      <c r="E14" s="2" t="s">
        <v>52</v>
      </c>
      <c r="F14" s="3" t="s">
        <v>89</v>
      </c>
      <c r="G14" s="3" t="s">
        <v>90</v>
      </c>
      <c r="H14" s="4">
        <v>50</v>
      </c>
      <c r="I14" s="4">
        <v>32</v>
      </c>
      <c r="J14" s="4">
        <f t="shared" si="0"/>
        <v>18</v>
      </c>
      <c r="K14" s="4">
        <v>650000</v>
      </c>
      <c r="L14" s="4">
        <f t="shared" si="1"/>
        <v>11700000</v>
      </c>
      <c r="M14" s="2" t="s">
        <v>85</v>
      </c>
      <c r="N14" s="3" t="str">
        <f t="shared" si="2"/>
        <v>Tersedia</v>
      </c>
      <c r="O14" s="2" t="s">
        <v>36</v>
      </c>
    </row>
    <row r="15" spans="1:15" x14ac:dyDescent="0.35">
      <c r="A15" s="5" t="s">
        <v>91</v>
      </c>
      <c r="B15" s="5" t="s">
        <v>33</v>
      </c>
      <c r="C15" s="5" t="s">
        <v>26</v>
      </c>
      <c r="D15" s="5" t="s">
        <v>27</v>
      </c>
      <c r="E15" s="5" t="s">
        <v>56</v>
      </c>
      <c r="F15" s="6" t="s">
        <v>92</v>
      </c>
      <c r="G15" s="6" t="s">
        <v>93</v>
      </c>
      <c r="H15" s="7">
        <v>100</v>
      </c>
      <c r="I15" s="7">
        <v>7</v>
      </c>
      <c r="J15" s="7">
        <f t="shared" si="0"/>
        <v>93</v>
      </c>
      <c r="K15" s="7">
        <v>12000</v>
      </c>
      <c r="L15" s="7">
        <f t="shared" si="1"/>
        <v>1116000</v>
      </c>
      <c r="M15" s="5" t="s">
        <v>30</v>
      </c>
      <c r="N15" s="6" t="str">
        <f t="shared" si="2"/>
        <v>Tersedia</v>
      </c>
      <c r="O15" s="5" t="s">
        <v>36</v>
      </c>
    </row>
    <row r="16" spans="1:15" x14ac:dyDescent="0.35">
      <c r="A16" s="2" t="s">
        <v>94</v>
      </c>
      <c r="B16" s="2" t="s">
        <v>95</v>
      </c>
      <c r="C16" s="2" t="s">
        <v>62</v>
      </c>
      <c r="D16" s="2" t="s">
        <v>63</v>
      </c>
      <c r="E16" s="2" t="s">
        <v>96</v>
      </c>
      <c r="F16" s="3" t="s">
        <v>97</v>
      </c>
      <c r="G16" s="3" t="s">
        <v>98</v>
      </c>
      <c r="H16" s="4">
        <v>100</v>
      </c>
      <c r="I16" s="4">
        <v>100</v>
      </c>
      <c r="J16" s="4">
        <f t="shared" si="0"/>
        <v>0</v>
      </c>
      <c r="K16" s="4">
        <v>850000</v>
      </c>
      <c r="L16" s="4">
        <f t="shared" si="1"/>
        <v>0</v>
      </c>
      <c r="M16" s="2" t="s">
        <v>43</v>
      </c>
      <c r="N16" s="3" t="str">
        <f t="shared" si="2"/>
        <v>Habis</v>
      </c>
      <c r="O16" s="2" t="s">
        <v>76</v>
      </c>
    </row>
    <row r="17" spans="1:15" x14ac:dyDescent="0.35">
      <c r="A17" s="5" t="s">
        <v>99</v>
      </c>
      <c r="B17" s="5" t="s">
        <v>100</v>
      </c>
      <c r="C17" s="5" t="s">
        <v>81</v>
      </c>
      <c r="D17" s="5" t="s">
        <v>82</v>
      </c>
      <c r="E17" s="5" t="s">
        <v>101</v>
      </c>
      <c r="F17" s="6" t="s">
        <v>102</v>
      </c>
      <c r="G17" s="6" t="s">
        <v>103</v>
      </c>
      <c r="H17" s="7">
        <v>200</v>
      </c>
      <c r="I17" s="7">
        <v>134</v>
      </c>
      <c r="J17" s="7">
        <f t="shared" si="0"/>
        <v>66</v>
      </c>
      <c r="K17" s="7">
        <v>220000</v>
      </c>
      <c r="L17" s="7">
        <f t="shared" si="1"/>
        <v>14520000</v>
      </c>
      <c r="M17" s="5" t="s">
        <v>43</v>
      </c>
      <c r="N17" s="6" t="str">
        <f t="shared" si="2"/>
        <v>Tersedia</v>
      </c>
      <c r="O17" s="5" t="s">
        <v>76</v>
      </c>
    </row>
    <row r="18" spans="1:15" x14ac:dyDescent="0.35">
      <c r="A18" s="2" t="s">
        <v>104</v>
      </c>
      <c r="B18" s="2" t="s">
        <v>72</v>
      </c>
      <c r="C18" s="2" t="s">
        <v>73</v>
      </c>
      <c r="D18" s="2" t="s">
        <v>74</v>
      </c>
      <c r="E18" s="2" t="s">
        <v>96</v>
      </c>
      <c r="F18" s="3" t="s">
        <v>105</v>
      </c>
      <c r="G18" s="3" t="s">
        <v>106</v>
      </c>
      <c r="H18" s="4">
        <v>150</v>
      </c>
      <c r="I18" s="4">
        <v>123</v>
      </c>
      <c r="J18" s="4">
        <f t="shared" si="0"/>
        <v>27</v>
      </c>
      <c r="K18" s="4">
        <v>240000</v>
      </c>
      <c r="L18" s="4">
        <f t="shared" si="1"/>
        <v>6480000</v>
      </c>
      <c r="M18" s="2" t="s">
        <v>22</v>
      </c>
      <c r="N18" s="3" t="str">
        <f t="shared" si="2"/>
        <v>Tersedia</v>
      </c>
      <c r="O18" s="2" t="s">
        <v>23</v>
      </c>
    </row>
    <row r="19" spans="1:15" x14ac:dyDescent="0.35">
      <c r="A19" s="5" t="s">
        <v>107</v>
      </c>
      <c r="B19" s="5" t="s">
        <v>108</v>
      </c>
      <c r="C19" s="5" t="s">
        <v>62</v>
      </c>
      <c r="D19" s="5" t="s">
        <v>63</v>
      </c>
      <c r="E19" s="5" t="s">
        <v>64</v>
      </c>
      <c r="F19" s="6" t="s">
        <v>109</v>
      </c>
      <c r="G19" s="6" t="s">
        <v>110</v>
      </c>
      <c r="H19" s="7">
        <v>150</v>
      </c>
      <c r="I19" s="7">
        <v>28</v>
      </c>
      <c r="J19" s="7">
        <f t="shared" si="0"/>
        <v>122</v>
      </c>
      <c r="K19" s="7">
        <v>650000</v>
      </c>
      <c r="L19" s="7">
        <f t="shared" si="1"/>
        <v>79300000</v>
      </c>
      <c r="M19" s="5" t="s">
        <v>30</v>
      </c>
      <c r="N19" s="6" t="str">
        <f t="shared" si="2"/>
        <v>Tersedia</v>
      </c>
      <c r="O19" s="5" t="s">
        <v>86</v>
      </c>
    </row>
    <row r="20" spans="1:15" x14ac:dyDescent="0.35">
      <c r="A20" s="2" t="s">
        <v>111</v>
      </c>
      <c r="B20" s="2" t="s">
        <v>67</v>
      </c>
      <c r="C20" s="2" t="s">
        <v>39</v>
      </c>
      <c r="D20" s="2" t="s">
        <v>40</v>
      </c>
      <c r="E20" s="2" t="s">
        <v>19</v>
      </c>
      <c r="F20" s="3" t="s">
        <v>112</v>
      </c>
      <c r="G20" s="3" t="s">
        <v>113</v>
      </c>
      <c r="H20" s="4">
        <v>2</v>
      </c>
      <c r="I20" s="4">
        <v>1</v>
      </c>
      <c r="J20" s="4">
        <f t="shared" si="0"/>
        <v>1</v>
      </c>
      <c r="K20" s="4">
        <v>3800000</v>
      </c>
      <c r="L20" s="4">
        <f t="shared" si="1"/>
        <v>3800000</v>
      </c>
      <c r="M20" s="2" t="s">
        <v>35</v>
      </c>
      <c r="N20" s="3" t="str">
        <f t="shared" si="2"/>
        <v>Menipis</v>
      </c>
      <c r="O20" s="2" t="s">
        <v>70</v>
      </c>
    </row>
    <row r="21" spans="1:15" x14ac:dyDescent="0.35">
      <c r="A21" s="5" t="s">
        <v>15</v>
      </c>
      <c r="B21" s="5" t="s">
        <v>114</v>
      </c>
      <c r="C21" s="5" t="s">
        <v>17</v>
      </c>
      <c r="D21" s="5" t="s">
        <v>18</v>
      </c>
      <c r="E21" s="5" t="s">
        <v>64</v>
      </c>
      <c r="F21" s="6" t="s">
        <v>115</v>
      </c>
      <c r="G21" s="6" t="s">
        <v>21</v>
      </c>
      <c r="H21" s="7">
        <v>200</v>
      </c>
      <c r="I21" s="7">
        <v>134</v>
      </c>
      <c r="J21" s="7">
        <f t="shared" si="0"/>
        <v>66</v>
      </c>
      <c r="K21" s="7">
        <v>85000</v>
      </c>
      <c r="L21" s="7">
        <f t="shared" si="1"/>
        <v>5610000</v>
      </c>
      <c r="M21" s="5" t="s">
        <v>35</v>
      </c>
      <c r="N21" s="6" t="str">
        <f t="shared" si="2"/>
        <v>Tersedia</v>
      </c>
      <c r="O21" s="5" t="s">
        <v>59</v>
      </c>
    </row>
    <row r="22" spans="1:15" x14ac:dyDescent="0.35">
      <c r="A22" s="2" t="s">
        <v>116</v>
      </c>
      <c r="B22" s="2" t="s">
        <v>117</v>
      </c>
      <c r="C22" s="2" t="s">
        <v>81</v>
      </c>
      <c r="D22" s="2" t="s">
        <v>82</v>
      </c>
      <c r="E22" s="2" t="s">
        <v>68</v>
      </c>
      <c r="F22" s="3" t="s">
        <v>118</v>
      </c>
      <c r="G22" s="3"/>
      <c r="H22" s="4">
        <v>50</v>
      </c>
      <c r="I22" s="4">
        <v>0</v>
      </c>
      <c r="J22" s="4">
        <f t="shared" si="0"/>
        <v>50</v>
      </c>
      <c r="K22" s="4">
        <v>310000</v>
      </c>
      <c r="L22" s="4">
        <f t="shared" si="1"/>
        <v>15500000</v>
      </c>
      <c r="M22" s="2" t="s">
        <v>35</v>
      </c>
      <c r="N22" s="3" t="str">
        <f t="shared" si="2"/>
        <v>Tersedia</v>
      </c>
      <c r="O22" s="2" t="s">
        <v>44</v>
      </c>
    </row>
    <row r="23" spans="1:15" x14ac:dyDescent="0.35">
      <c r="A23" s="5" t="s">
        <v>119</v>
      </c>
      <c r="B23" s="5" t="s">
        <v>120</v>
      </c>
      <c r="C23" s="5" t="s">
        <v>73</v>
      </c>
      <c r="D23" s="5" t="s">
        <v>74</v>
      </c>
      <c r="E23" s="5" t="s">
        <v>34</v>
      </c>
      <c r="F23" s="6" t="s">
        <v>121</v>
      </c>
      <c r="G23" s="6"/>
      <c r="H23" s="7">
        <v>20</v>
      </c>
      <c r="I23" s="7">
        <v>0</v>
      </c>
      <c r="J23" s="7">
        <f t="shared" si="0"/>
        <v>20</v>
      </c>
      <c r="K23" s="7">
        <v>75000</v>
      </c>
      <c r="L23" s="7">
        <f t="shared" si="1"/>
        <v>1500000</v>
      </c>
      <c r="M23" s="5" t="s">
        <v>43</v>
      </c>
      <c r="N23" s="6" t="str">
        <f t="shared" si="2"/>
        <v>Tersedia</v>
      </c>
      <c r="O23" s="5" t="s">
        <v>36</v>
      </c>
    </row>
    <row r="24" spans="1:15" x14ac:dyDescent="0.35">
      <c r="A24" s="2" t="s">
        <v>122</v>
      </c>
      <c r="B24" s="2" t="s">
        <v>123</v>
      </c>
      <c r="C24" s="2" t="s">
        <v>81</v>
      </c>
      <c r="D24" s="2" t="s">
        <v>82</v>
      </c>
      <c r="E24" s="2" t="s">
        <v>47</v>
      </c>
      <c r="F24" s="3" t="s">
        <v>124</v>
      </c>
      <c r="G24" s="3" t="s">
        <v>125</v>
      </c>
      <c r="H24" s="4">
        <v>100</v>
      </c>
      <c r="I24" s="4">
        <v>81</v>
      </c>
      <c r="J24" s="4">
        <f t="shared" si="0"/>
        <v>19</v>
      </c>
      <c r="K24" s="4">
        <v>1750000</v>
      </c>
      <c r="L24" s="4">
        <f t="shared" si="1"/>
        <v>33250000</v>
      </c>
      <c r="M24" s="2" t="s">
        <v>35</v>
      </c>
      <c r="N24" s="3" t="str">
        <f t="shared" si="2"/>
        <v>Tersedia</v>
      </c>
      <c r="O24" s="2" t="s">
        <v>86</v>
      </c>
    </row>
    <row r="25" spans="1:15" x14ac:dyDescent="0.35">
      <c r="A25" s="5" t="s">
        <v>126</v>
      </c>
      <c r="B25" s="5" t="s">
        <v>127</v>
      </c>
      <c r="C25" s="5" t="s">
        <v>39</v>
      </c>
      <c r="D25" s="5" t="s">
        <v>40</v>
      </c>
      <c r="E25" s="5" t="s">
        <v>101</v>
      </c>
      <c r="F25" s="6" t="s">
        <v>29</v>
      </c>
      <c r="G25" s="6" t="s">
        <v>128</v>
      </c>
      <c r="H25" s="7">
        <v>5</v>
      </c>
      <c r="I25" s="7">
        <v>3</v>
      </c>
      <c r="J25" s="7">
        <f t="shared" si="0"/>
        <v>2</v>
      </c>
      <c r="K25" s="7">
        <v>1550000</v>
      </c>
      <c r="L25" s="7">
        <f t="shared" si="1"/>
        <v>3100000</v>
      </c>
      <c r="M25" s="5" t="s">
        <v>85</v>
      </c>
      <c r="N25" s="6" t="str">
        <f t="shared" si="2"/>
        <v>Menipis</v>
      </c>
      <c r="O25" s="5" t="s">
        <v>76</v>
      </c>
    </row>
    <row r="26" spans="1:15" x14ac:dyDescent="0.35">
      <c r="A26" s="2" t="s">
        <v>129</v>
      </c>
      <c r="B26" s="2" t="s">
        <v>127</v>
      </c>
      <c r="C26" s="2" t="s">
        <v>39</v>
      </c>
      <c r="D26" s="2" t="s">
        <v>40</v>
      </c>
      <c r="E26" s="2" t="s">
        <v>19</v>
      </c>
      <c r="F26" s="3" t="s">
        <v>130</v>
      </c>
      <c r="G26" s="3" t="s">
        <v>131</v>
      </c>
      <c r="H26" s="4">
        <v>5</v>
      </c>
      <c r="I26" s="4">
        <v>4</v>
      </c>
      <c r="J26" s="4">
        <f t="shared" si="0"/>
        <v>1</v>
      </c>
      <c r="K26" s="4">
        <v>1550000</v>
      </c>
      <c r="L26" s="4">
        <f t="shared" si="1"/>
        <v>1550000</v>
      </c>
      <c r="M26" s="2" t="s">
        <v>30</v>
      </c>
      <c r="N26" s="3" t="str">
        <f t="shared" si="2"/>
        <v>Menipis</v>
      </c>
      <c r="O26" s="2" t="s">
        <v>76</v>
      </c>
    </row>
    <row r="27" spans="1:15" x14ac:dyDescent="0.35">
      <c r="A27" s="5" t="s">
        <v>132</v>
      </c>
      <c r="B27" s="5" t="s">
        <v>33</v>
      </c>
      <c r="C27" s="5" t="s">
        <v>26</v>
      </c>
      <c r="D27" s="5" t="s">
        <v>27</v>
      </c>
      <c r="E27" s="5" t="s">
        <v>96</v>
      </c>
      <c r="F27" s="6" t="s">
        <v>133</v>
      </c>
      <c r="G27" s="6" t="s">
        <v>134</v>
      </c>
      <c r="H27" s="7">
        <v>10</v>
      </c>
      <c r="I27" s="7">
        <v>6</v>
      </c>
      <c r="J27" s="7">
        <f t="shared" si="0"/>
        <v>4</v>
      </c>
      <c r="K27" s="7">
        <v>12000</v>
      </c>
      <c r="L27" s="7">
        <f t="shared" si="1"/>
        <v>48000</v>
      </c>
      <c r="M27" s="5" t="s">
        <v>85</v>
      </c>
      <c r="N27" s="6" t="str">
        <f t="shared" si="2"/>
        <v>Menipis</v>
      </c>
      <c r="O27" s="5" t="s">
        <v>59</v>
      </c>
    </row>
    <row r="28" spans="1:15" x14ac:dyDescent="0.35">
      <c r="A28" s="2" t="s">
        <v>135</v>
      </c>
      <c r="B28" s="2" t="s">
        <v>88</v>
      </c>
      <c r="C28" s="2" t="s">
        <v>73</v>
      </c>
      <c r="D28" s="2" t="s">
        <v>74</v>
      </c>
      <c r="E28" s="2" t="s">
        <v>47</v>
      </c>
      <c r="F28" s="3" t="s">
        <v>136</v>
      </c>
      <c r="G28" s="3"/>
      <c r="H28" s="4">
        <v>20</v>
      </c>
      <c r="I28" s="4">
        <v>0</v>
      </c>
      <c r="J28" s="4">
        <f t="shared" si="0"/>
        <v>20</v>
      </c>
      <c r="K28" s="4">
        <v>650000</v>
      </c>
      <c r="L28" s="4">
        <f t="shared" si="1"/>
        <v>13000000</v>
      </c>
      <c r="M28" s="2" t="s">
        <v>85</v>
      </c>
      <c r="N28" s="3" t="str">
        <f t="shared" si="2"/>
        <v>Tersedia</v>
      </c>
      <c r="O28" s="2" t="s">
        <v>86</v>
      </c>
    </row>
    <row r="29" spans="1:15" x14ac:dyDescent="0.35">
      <c r="A29" s="5" t="s">
        <v>137</v>
      </c>
      <c r="B29" s="5" t="s">
        <v>138</v>
      </c>
      <c r="C29" s="5" t="s">
        <v>62</v>
      </c>
      <c r="D29" s="5" t="s">
        <v>63</v>
      </c>
      <c r="E29" s="5" t="s">
        <v>64</v>
      </c>
      <c r="F29" s="6" t="s">
        <v>139</v>
      </c>
      <c r="G29" s="6" t="s">
        <v>140</v>
      </c>
      <c r="H29" s="7">
        <v>150</v>
      </c>
      <c r="I29" s="7">
        <v>113</v>
      </c>
      <c r="J29" s="7">
        <f t="shared" si="0"/>
        <v>37</v>
      </c>
      <c r="K29" s="7">
        <v>450000</v>
      </c>
      <c r="L29" s="7">
        <f t="shared" si="1"/>
        <v>16650000</v>
      </c>
      <c r="M29" s="5" t="s">
        <v>43</v>
      </c>
      <c r="N29" s="6" t="str">
        <f t="shared" si="2"/>
        <v>Tersedia</v>
      </c>
      <c r="O29" s="5" t="s">
        <v>59</v>
      </c>
    </row>
    <row r="30" spans="1:15" x14ac:dyDescent="0.35">
      <c r="A30" s="2" t="s">
        <v>141</v>
      </c>
      <c r="B30" s="2" t="s">
        <v>16</v>
      </c>
      <c r="C30" s="2" t="s">
        <v>17</v>
      </c>
      <c r="D30" s="2" t="s">
        <v>18</v>
      </c>
      <c r="E30" s="2" t="s">
        <v>64</v>
      </c>
      <c r="F30" s="3" t="s">
        <v>142</v>
      </c>
      <c r="G30" s="3" t="s">
        <v>143</v>
      </c>
      <c r="H30" s="4">
        <v>150</v>
      </c>
      <c r="I30" s="4">
        <v>145</v>
      </c>
      <c r="J30" s="4">
        <f t="shared" si="0"/>
        <v>5</v>
      </c>
      <c r="K30" s="4">
        <v>45000</v>
      </c>
      <c r="L30" s="4">
        <f t="shared" si="1"/>
        <v>225000</v>
      </c>
      <c r="M30" s="2" t="s">
        <v>85</v>
      </c>
      <c r="N30" s="3" t="str">
        <f t="shared" si="2"/>
        <v>Menipis</v>
      </c>
      <c r="O30" s="2" t="s">
        <v>31</v>
      </c>
    </row>
    <row r="31" spans="1:15" x14ac:dyDescent="0.35">
      <c r="A31" s="5" t="s">
        <v>54</v>
      </c>
      <c r="B31" s="5" t="s">
        <v>144</v>
      </c>
      <c r="C31" s="5" t="s">
        <v>39</v>
      </c>
      <c r="D31" s="5" t="s">
        <v>40</v>
      </c>
      <c r="E31" s="5" t="s">
        <v>96</v>
      </c>
      <c r="F31" s="6" t="s">
        <v>145</v>
      </c>
      <c r="G31" s="6" t="s">
        <v>146</v>
      </c>
      <c r="H31" s="7">
        <v>5</v>
      </c>
      <c r="I31" s="7">
        <v>2</v>
      </c>
      <c r="J31" s="7">
        <f t="shared" si="0"/>
        <v>3</v>
      </c>
      <c r="K31" s="7">
        <v>2450000</v>
      </c>
      <c r="L31" s="7">
        <f t="shared" si="1"/>
        <v>7350000</v>
      </c>
      <c r="M31" s="5" t="s">
        <v>30</v>
      </c>
      <c r="N31" s="6" t="str">
        <f t="shared" si="2"/>
        <v>Menipis</v>
      </c>
      <c r="O31" s="5" t="s">
        <v>23</v>
      </c>
    </row>
    <row r="32" spans="1:15" x14ac:dyDescent="0.35">
      <c r="A32" s="2" t="s">
        <v>147</v>
      </c>
      <c r="B32" s="2" t="s">
        <v>25</v>
      </c>
      <c r="C32" s="2" t="s">
        <v>26</v>
      </c>
      <c r="D32" s="2" t="s">
        <v>27</v>
      </c>
      <c r="E32" s="2" t="s">
        <v>47</v>
      </c>
      <c r="F32" s="3" t="s">
        <v>148</v>
      </c>
      <c r="G32" s="3" t="s">
        <v>48</v>
      </c>
      <c r="H32" s="4">
        <v>150</v>
      </c>
      <c r="I32" s="4">
        <v>23</v>
      </c>
      <c r="J32" s="4">
        <f t="shared" si="0"/>
        <v>127</v>
      </c>
      <c r="K32" s="4">
        <v>45000</v>
      </c>
      <c r="L32" s="4">
        <f t="shared" si="1"/>
        <v>5715000</v>
      </c>
      <c r="M32" s="2" t="s">
        <v>30</v>
      </c>
      <c r="N32" s="3" t="str">
        <f t="shared" si="2"/>
        <v>Tersedia</v>
      </c>
      <c r="O32" s="2" t="s">
        <v>70</v>
      </c>
    </row>
    <row r="33" spans="1:15" x14ac:dyDescent="0.35">
      <c r="A33" s="5" t="s">
        <v>149</v>
      </c>
      <c r="B33" s="5" t="s">
        <v>150</v>
      </c>
      <c r="C33" s="5" t="s">
        <v>81</v>
      </c>
      <c r="D33" s="5" t="s">
        <v>82</v>
      </c>
      <c r="E33" s="5" t="s">
        <v>151</v>
      </c>
      <c r="F33" s="6" t="s">
        <v>152</v>
      </c>
      <c r="G33" s="6" t="s">
        <v>153</v>
      </c>
      <c r="H33" s="7">
        <v>150</v>
      </c>
      <c r="I33" s="7">
        <v>114</v>
      </c>
      <c r="J33" s="7">
        <f t="shared" si="0"/>
        <v>36</v>
      </c>
      <c r="K33" s="7">
        <v>85000</v>
      </c>
      <c r="L33" s="7">
        <f t="shared" si="1"/>
        <v>3060000</v>
      </c>
      <c r="M33" s="5" t="s">
        <v>43</v>
      </c>
      <c r="N33" s="6" t="str">
        <f t="shared" si="2"/>
        <v>Tersedia</v>
      </c>
      <c r="O33" s="5" t="s">
        <v>70</v>
      </c>
    </row>
    <row r="34" spans="1:15" x14ac:dyDescent="0.35">
      <c r="A34" s="2" t="s">
        <v>154</v>
      </c>
      <c r="B34" s="2" t="s">
        <v>46</v>
      </c>
      <c r="C34" s="2" t="s">
        <v>26</v>
      </c>
      <c r="D34" s="2" t="s">
        <v>27</v>
      </c>
      <c r="E34" s="2" t="s">
        <v>47</v>
      </c>
      <c r="F34" s="3" t="s">
        <v>155</v>
      </c>
      <c r="G34" s="3" t="s">
        <v>156</v>
      </c>
      <c r="H34" s="4">
        <v>10</v>
      </c>
      <c r="I34" s="4">
        <v>3</v>
      </c>
      <c r="J34" s="4">
        <f t="shared" si="0"/>
        <v>7</v>
      </c>
      <c r="K34" s="4">
        <v>35000</v>
      </c>
      <c r="L34" s="4">
        <f t="shared" si="1"/>
        <v>245000</v>
      </c>
      <c r="M34" s="2" t="s">
        <v>43</v>
      </c>
      <c r="N34" s="3" t="str">
        <f t="shared" si="2"/>
        <v>Tersedia</v>
      </c>
      <c r="O34" s="2" t="s">
        <v>76</v>
      </c>
    </row>
    <row r="35" spans="1:15" x14ac:dyDescent="0.35">
      <c r="A35" s="5" t="s">
        <v>157</v>
      </c>
      <c r="B35" s="5" t="s">
        <v>158</v>
      </c>
      <c r="C35" s="5" t="s">
        <v>26</v>
      </c>
      <c r="D35" s="5" t="s">
        <v>27</v>
      </c>
      <c r="E35" s="5" t="s">
        <v>34</v>
      </c>
      <c r="F35" s="6" t="s">
        <v>159</v>
      </c>
      <c r="G35" s="6" t="s">
        <v>160</v>
      </c>
      <c r="H35" s="7">
        <v>10</v>
      </c>
      <c r="I35" s="7">
        <v>3</v>
      </c>
      <c r="J35" s="7">
        <f t="shared" si="0"/>
        <v>7</v>
      </c>
      <c r="K35" s="7">
        <v>65000</v>
      </c>
      <c r="L35" s="7">
        <f t="shared" si="1"/>
        <v>455000</v>
      </c>
      <c r="M35" s="5" t="s">
        <v>85</v>
      </c>
      <c r="N35" s="6" t="str">
        <f t="shared" si="2"/>
        <v>Tersedia</v>
      </c>
      <c r="O35" s="5" t="s">
        <v>31</v>
      </c>
    </row>
    <row r="36" spans="1:15" x14ac:dyDescent="0.35">
      <c r="A36" s="2" t="s">
        <v>161</v>
      </c>
      <c r="B36" s="2" t="s">
        <v>25</v>
      </c>
      <c r="C36" s="2" t="s">
        <v>26</v>
      </c>
      <c r="D36" s="2" t="s">
        <v>27</v>
      </c>
      <c r="E36" s="2" t="s">
        <v>52</v>
      </c>
      <c r="F36" s="3" t="s">
        <v>162</v>
      </c>
      <c r="G36" s="3" t="s">
        <v>163</v>
      </c>
      <c r="H36" s="4">
        <v>20</v>
      </c>
      <c r="I36" s="4">
        <v>2</v>
      </c>
      <c r="J36" s="4">
        <f t="shared" si="0"/>
        <v>18</v>
      </c>
      <c r="K36" s="4">
        <v>45000</v>
      </c>
      <c r="L36" s="4">
        <f t="shared" si="1"/>
        <v>810000</v>
      </c>
      <c r="M36" s="2" t="s">
        <v>85</v>
      </c>
      <c r="N36" s="3" t="str">
        <f t="shared" si="2"/>
        <v>Tersedia</v>
      </c>
      <c r="O36" s="2" t="s">
        <v>59</v>
      </c>
    </row>
    <row r="37" spans="1:15" x14ac:dyDescent="0.35">
      <c r="A37" s="5" t="s">
        <v>164</v>
      </c>
      <c r="B37" s="5" t="s">
        <v>165</v>
      </c>
      <c r="C37" s="5" t="s">
        <v>17</v>
      </c>
      <c r="D37" s="5" t="s">
        <v>18</v>
      </c>
      <c r="E37" s="5" t="s">
        <v>47</v>
      </c>
      <c r="F37" s="6" t="s">
        <v>166</v>
      </c>
      <c r="G37" s="6" t="s">
        <v>167</v>
      </c>
      <c r="H37" s="7">
        <v>20</v>
      </c>
      <c r="I37" s="7">
        <v>15</v>
      </c>
      <c r="J37" s="7">
        <f t="shared" si="0"/>
        <v>5</v>
      </c>
      <c r="K37" s="7">
        <v>35000</v>
      </c>
      <c r="L37" s="7">
        <f t="shared" si="1"/>
        <v>175000</v>
      </c>
      <c r="M37" s="5" t="s">
        <v>43</v>
      </c>
      <c r="N37" s="6" t="str">
        <f t="shared" si="2"/>
        <v>Menipis</v>
      </c>
      <c r="O37" s="5" t="s">
        <v>44</v>
      </c>
    </row>
    <row r="38" spans="1:15" x14ac:dyDescent="0.35">
      <c r="A38" s="2" t="s">
        <v>168</v>
      </c>
      <c r="B38" s="2" t="s">
        <v>144</v>
      </c>
      <c r="C38" s="2" t="s">
        <v>39</v>
      </c>
      <c r="D38" s="2" t="s">
        <v>40</v>
      </c>
      <c r="E38" s="2" t="s">
        <v>52</v>
      </c>
      <c r="F38" s="3" t="s">
        <v>169</v>
      </c>
      <c r="G38" s="3" t="s">
        <v>170</v>
      </c>
      <c r="H38" s="4">
        <v>10</v>
      </c>
      <c r="I38" s="4">
        <v>2</v>
      </c>
      <c r="J38" s="4">
        <f t="shared" si="0"/>
        <v>8</v>
      </c>
      <c r="K38" s="4">
        <v>2450000</v>
      </c>
      <c r="L38" s="4">
        <f t="shared" si="1"/>
        <v>19600000</v>
      </c>
      <c r="M38" s="2" t="s">
        <v>22</v>
      </c>
      <c r="N38" s="3" t="str">
        <f t="shared" si="2"/>
        <v>Tersedia</v>
      </c>
      <c r="O38" s="2" t="s">
        <v>36</v>
      </c>
    </row>
    <row r="39" spans="1:15" x14ac:dyDescent="0.35">
      <c r="A39" s="5" t="s">
        <v>94</v>
      </c>
      <c r="B39" s="5" t="s">
        <v>95</v>
      </c>
      <c r="C39" s="5" t="s">
        <v>62</v>
      </c>
      <c r="D39" s="5" t="s">
        <v>63</v>
      </c>
      <c r="E39" s="5" t="s">
        <v>34</v>
      </c>
      <c r="F39" s="6" t="s">
        <v>171</v>
      </c>
      <c r="G39" s="6" t="s">
        <v>172</v>
      </c>
      <c r="H39" s="7">
        <v>200</v>
      </c>
      <c r="I39" s="7">
        <v>26</v>
      </c>
      <c r="J39" s="7">
        <f t="shared" si="0"/>
        <v>174</v>
      </c>
      <c r="K39" s="7">
        <v>850000</v>
      </c>
      <c r="L39" s="7">
        <f t="shared" si="1"/>
        <v>147900000</v>
      </c>
      <c r="M39" s="5" t="s">
        <v>35</v>
      </c>
      <c r="N39" s="6" t="str">
        <f t="shared" si="2"/>
        <v>Tersedia</v>
      </c>
      <c r="O39" s="5" t="s">
        <v>86</v>
      </c>
    </row>
    <row r="40" spans="1:15" x14ac:dyDescent="0.35">
      <c r="A40" s="2" t="s">
        <v>173</v>
      </c>
      <c r="B40" s="2" t="s">
        <v>165</v>
      </c>
      <c r="C40" s="2" t="s">
        <v>17</v>
      </c>
      <c r="D40" s="2" t="s">
        <v>18</v>
      </c>
      <c r="E40" s="2" t="s">
        <v>64</v>
      </c>
      <c r="F40" s="3" t="s">
        <v>174</v>
      </c>
      <c r="G40" s="3" t="s">
        <v>175</v>
      </c>
      <c r="H40" s="4">
        <v>20</v>
      </c>
      <c r="I40" s="4">
        <v>13</v>
      </c>
      <c r="J40" s="4">
        <f t="shared" si="0"/>
        <v>7</v>
      </c>
      <c r="K40" s="4">
        <v>35000</v>
      </c>
      <c r="L40" s="4">
        <f t="shared" si="1"/>
        <v>245000</v>
      </c>
      <c r="M40" s="2" t="s">
        <v>30</v>
      </c>
      <c r="N40" s="3" t="str">
        <f t="shared" si="2"/>
        <v>Tersedia</v>
      </c>
      <c r="O40" s="2" t="s">
        <v>86</v>
      </c>
    </row>
    <row r="41" spans="1:15" x14ac:dyDescent="0.35">
      <c r="A41" s="5" t="s">
        <v>176</v>
      </c>
      <c r="B41" s="5" t="s">
        <v>25</v>
      </c>
      <c r="C41" s="5" t="s">
        <v>26</v>
      </c>
      <c r="D41" s="5" t="s">
        <v>27</v>
      </c>
      <c r="E41" s="5" t="s">
        <v>19</v>
      </c>
      <c r="F41" s="6" t="s">
        <v>177</v>
      </c>
      <c r="G41" s="6"/>
      <c r="H41" s="7">
        <v>150</v>
      </c>
      <c r="I41" s="7">
        <v>0</v>
      </c>
      <c r="J41" s="7">
        <f t="shared" si="0"/>
        <v>150</v>
      </c>
      <c r="K41" s="7">
        <v>45000</v>
      </c>
      <c r="L41" s="7">
        <f t="shared" si="1"/>
        <v>6750000</v>
      </c>
      <c r="M41" s="5" t="s">
        <v>85</v>
      </c>
      <c r="N41" s="6" t="str">
        <f t="shared" si="2"/>
        <v>Tersedia</v>
      </c>
      <c r="O41" s="5" t="s">
        <v>59</v>
      </c>
    </row>
    <row r="42" spans="1:15" x14ac:dyDescent="0.35">
      <c r="A42" s="2" t="s">
        <v>178</v>
      </c>
      <c r="B42" s="2" t="s">
        <v>144</v>
      </c>
      <c r="C42" s="2" t="s">
        <v>39</v>
      </c>
      <c r="D42" s="2" t="s">
        <v>40</v>
      </c>
      <c r="E42" s="2" t="s">
        <v>96</v>
      </c>
      <c r="F42" s="3" t="s">
        <v>177</v>
      </c>
      <c r="G42" s="3" t="s">
        <v>179</v>
      </c>
      <c r="H42" s="4">
        <v>2</v>
      </c>
      <c r="I42" s="4">
        <v>2</v>
      </c>
      <c r="J42" s="4">
        <f t="shared" si="0"/>
        <v>0</v>
      </c>
      <c r="K42" s="4">
        <v>2450000</v>
      </c>
      <c r="L42" s="4">
        <f t="shared" si="1"/>
        <v>0</v>
      </c>
      <c r="M42" s="2" t="s">
        <v>30</v>
      </c>
      <c r="N42" s="3" t="str">
        <f t="shared" si="2"/>
        <v>Habis</v>
      </c>
      <c r="O42" s="2" t="s">
        <v>23</v>
      </c>
    </row>
    <row r="43" spans="1:15" x14ac:dyDescent="0.35">
      <c r="A43" s="5" t="s">
        <v>32</v>
      </c>
      <c r="B43" s="5" t="s">
        <v>25</v>
      </c>
      <c r="C43" s="5" t="s">
        <v>26</v>
      </c>
      <c r="D43" s="5" t="s">
        <v>27</v>
      </c>
      <c r="E43" s="5" t="s">
        <v>47</v>
      </c>
      <c r="F43" s="6" t="s">
        <v>180</v>
      </c>
      <c r="G43" s="6"/>
      <c r="H43" s="7">
        <v>20</v>
      </c>
      <c r="I43" s="7">
        <v>0</v>
      </c>
      <c r="J43" s="7">
        <f t="shared" si="0"/>
        <v>20</v>
      </c>
      <c r="K43" s="7">
        <v>45000</v>
      </c>
      <c r="L43" s="7">
        <f t="shared" si="1"/>
        <v>900000</v>
      </c>
      <c r="M43" s="5" t="s">
        <v>22</v>
      </c>
      <c r="N43" s="6" t="str">
        <f t="shared" si="2"/>
        <v>Tersedia</v>
      </c>
      <c r="O43" s="5" t="s">
        <v>76</v>
      </c>
    </row>
    <row r="44" spans="1:15" x14ac:dyDescent="0.35">
      <c r="A44" s="2" t="s">
        <v>181</v>
      </c>
      <c r="B44" s="2" t="s">
        <v>158</v>
      </c>
      <c r="C44" s="2" t="s">
        <v>26</v>
      </c>
      <c r="D44" s="2" t="s">
        <v>27</v>
      </c>
      <c r="E44" s="2" t="s">
        <v>34</v>
      </c>
      <c r="F44" s="3" t="s">
        <v>182</v>
      </c>
      <c r="G44" s="3"/>
      <c r="H44" s="4">
        <v>20</v>
      </c>
      <c r="I44" s="4">
        <v>0</v>
      </c>
      <c r="J44" s="4">
        <f t="shared" si="0"/>
        <v>20</v>
      </c>
      <c r="K44" s="4">
        <v>65000</v>
      </c>
      <c r="L44" s="4">
        <f t="shared" si="1"/>
        <v>1300000</v>
      </c>
      <c r="M44" s="2" t="s">
        <v>85</v>
      </c>
      <c r="N44" s="3" t="str">
        <f t="shared" si="2"/>
        <v>Tersedia</v>
      </c>
      <c r="O44" s="2" t="s">
        <v>36</v>
      </c>
    </row>
    <row r="45" spans="1:15" x14ac:dyDescent="0.35">
      <c r="A45" s="5" t="s">
        <v>183</v>
      </c>
      <c r="B45" s="5" t="s">
        <v>184</v>
      </c>
      <c r="C45" s="5" t="s">
        <v>62</v>
      </c>
      <c r="D45" s="5" t="s">
        <v>63</v>
      </c>
      <c r="E45" s="5" t="s">
        <v>52</v>
      </c>
      <c r="F45" s="6" t="s">
        <v>185</v>
      </c>
      <c r="G45" s="6" t="s">
        <v>186</v>
      </c>
      <c r="H45" s="7">
        <v>10</v>
      </c>
      <c r="I45" s="7">
        <v>3</v>
      </c>
      <c r="J45" s="7">
        <f t="shared" si="0"/>
        <v>7</v>
      </c>
      <c r="K45" s="7">
        <v>1250000</v>
      </c>
      <c r="L45" s="7">
        <f t="shared" si="1"/>
        <v>8750000</v>
      </c>
      <c r="M45" s="5" t="s">
        <v>43</v>
      </c>
      <c r="N45" s="6" t="str">
        <f t="shared" si="2"/>
        <v>Tersedia</v>
      </c>
      <c r="O45" s="5" t="s">
        <v>59</v>
      </c>
    </row>
    <row r="46" spans="1:15" x14ac:dyDescent="0.35">
      <c r="A46" s="2" t="s">
        <v>187</v>
      </c>
      <c r="B46" s="2" t="s">
        <v>123</v>
      </c>
      <c r="C46" s="2" t="s">
        <v>81</v>
      </c>
      <c r="D46" s="2" t="s">
        <v>82</v>
      </c>
      <c r="E46" s="2" t="s">
        <v>52</v>
      </c>
      <c r="F46" s="3" t="s">
        <v>188</v>
      </c>
      <c r="G46" s="3" t="s">
        <v>189</v>
      </c>
      <c r="H46" s="4">
        <v>100</v>
      </c>
      <c r="I46" s="4">
        <v>24</v>
      </c>
      <c r="J46" s="4">
        <f t="shared" si="0"/>
        <v>76</v>
      </c>
      <c r="K46" s="4">
        <v>1750000</v>
      </c>
      <c r="L46" s="4">
        <f t="shared" si="1"/>
        <v>133000000</v>
      </c>
      <c r="M46" s="2" t="s">
        <v>43</v>
      </c>
      <c r="N46" s="3" t="str">
        <f t="shared" si="2"/>
        <v>Tersedia</v>
      </c>
      <c r="O46" s="2" t="s">
        <v>23</v>
      </c>
    </row>
    <row r="47" spans="1:15" x14ac:dyDescent="0.35">
      <c r="A47" s="5" t="s">
        <v>190</v>
      </c>
      <c r="B47" s="5" t="s">
        <v>117</v>
      </c>
      <c r="C47" s="5" t="s">
        <v>81</v>
      </c>
      <c r="D47" s="5" t="s">
        <v>82</v>
      </c>
      <c r="E47" s="5" t="s">
        <v>47</v>
      </c>
      <c r="F47" s="6" t="s">
        <v>191</v>
      </c>
      <c r="G47" s="6"/>
      <c r="H47" s="7">
        <v>50</v>
      </c>
      <c r="I47" s="7">
        <v>0</v>
      </c>
      <c r="J47" s="7">
        <f t="shared" si="0"/>
        <v>50</v>
      </c>
      <c r="K47" s="7">
        <v>310000</v>
      </c>
      <c r="L47" s="7">
        <f t="shared" si="1"/>
        <v>15500000</v>
      </c>
      <c r="M47" s="5" t="s">
        <v>22</v>
      </c>
      <c r="N47" s="6" t="str">
        <f t="shared" si="2"/>
        <v>Tersedia</v>
      </c>
      <c r="O47" s="5" t="s">
        <v>59</v>
      </c>
    </row>
    <row r="48" spans="1:15" x14ac:dyDescent="0.35">
      <c r="A48" s="2" t="s">
        <v>192</v>
      </c>
      <c r="B48" s="2" t="s">
        <v>123</v>
      </c>
      <c r="C48" s="2" t="s">
        <v>81</v>
      </c>
      <c r="D48" s="2" t="s">
        <v>82</v>
      </c>
      <c r="E48" s="2" t="s">
        <v>101</v>
      </c>
      <c r="F48" s="3" t="s">
        <v>193</v>
      </c>
      <c r="G48" s="3" t="s">
        <v>194</v>
      </c>
      <c r="H48" s="4">
        <v>20</v>
      </c>
      <c r="I48" s="4">
        <v>18</v>
      </c>
      <c r="J48" s="4">
        <f t="shared" si="0"/>
        <v>2</v>
      </c>
      <c r="K48" s="4">
        <v>1750000</v>
      </c>
      <c r="L48" s="4">
        <f t="shared" si="1"/>
        <v>3500000</v>
      </c>
      <c r="M48" s="2" t="s">
        <v>85</v>
      </c>
      <c r="N48" s="3" t="str">
        <f t="shared" si="2"/>
        <v>Menipis</v>
      </c>
      <c r="O48" s="2" t="s">
        <v>59</v>
      </c>
    </row>
    <row r="49" spans="1:15" x14ac:dyDescent="0.35">
      <c r="A49" s="5" t="s">
        <v>195</v>
      </c>
      <c r="B49" s="5" t="s">
        <v>55</v>
      </c>
      <c r="C49" s="5" t="s">
        <v>39</v>
      </c>
      <c r="D49" s="5" t="s">
        <v>40</v>
      </c>
      <c r="E49" s="5" t="s">
        <v>151</v>
      </c>
      <c r="F49" s="6" t="s">
        <v>196</v>
      </c>
      <c r="G49" s="6" t="s">
        <v>197</v>
      </c>
      <c r="H49" s="7">
        <v>2</v>
      </c>
      <c r="I49" s="7">
        <v>1</v>
      </c>
      <c r="J49" s="7">
        <f t="shared" si="0"/>
        <v>1</v>
      </c>
      <c r="K49" s="7">
        <v>1850000</v>
      </c>
      <c r="L49" s="7">
        <f t="shared" si="1"/>
        <v>1850000</v>
      </c>
      <c r="M49" s="5" t="s">
        <v>85</v>
      </c>
      <c r="N49" s="6" t="str">
        <f t="shared" si="2"/>
        <v>Menipis</v>
      </c>
      <c r="O49" s="5" t="s">
        <v>86</v>
      </c>
    </row>
    <row r="50" spans="1:15" x14ac:dyDescent="0.35">
      <c r="A50" s="2" t="s">
        <v>198</v>
      </c>
      <c r="B50" s="2" t="s">
        <v>95</v>
      </c>
      <c r="C50" s="2" t="s">
        <v>62</v>
      </c>
      <c r="D50" s="2" t="s">
        <v>63</v>
      </c>
      <c r="E50" s="2" t="s">
        <v>151</v>
      </c>
      <c r="F50" s="3" t="s">
        <v>133</v>
      </c>
      <c r="G50" s="3" t="s">
        <v>199</v>
      </c>
      <c r="H50" s="4">
        <v>200</v>
      </c>
      <c r="I50" s="4">
        <v>39</v>
      </c>
      <c r="J50" s="4">
        <f t="shared" si="0"/>
        <v>161</v>
      </c>
      <c r="K50" s="4">
        <v>850000</v>
      </c>
      <c r="L50" s="4">
        <f t="shared" si="1"/>
        <v>136850000</v>
      </c>
      <c r="M50" s="2" t="s">
        <v>22</v>
      </c>
      <c r="N50" s="3" t="str">
        <f t="shared" si="2"/>
        <v>Tersedia</v>
      </c>
      <c r="O50" s="2" t="s">
        <v>44</v>
      </c>
    </row>
    <row r="51" spans="1:15" x14ac:dyDescent="0.35">
      <c r="A51" s="5" t="s">
        <v>200</v>
      </c>
      <c r="B51" s="5" t="s">
        <v>108</v>
      </c>
      <c r="C51" s="5" t="s">
        <v>62</v>
      </c>
      <c r="D51" s="5" t="s">
        <v>63</v>
      </c>
      <c r="E51" s="5" t="s">
        <v>56</v>
      </c>
      <c r="F51" s="6" t="s">
        <v>115</v>
      </c>
      <c r="G51" s="6"/>
      <c r="H51" s="7">
        <v>100</v>
      </c>
      <c r="I51" s="7">
        <v>0</v>
      </c>
      <c r="J51" s="7">
        <f t="shared" si="0"/>
        <v>100</v>
      </c>
      <c r="K51" s="7">
        <v>650000</v>
      </c>
      <c r="L51" s="7">
        <f t="shared" si="1"/>
        <v>65000000</v>
      </c>
      <c r="M51" s="5" t="s">
        <v>35</v>
      </c>
      <c r="N51" s="6" t="str">
        <f t="shared" si="2"/>
        <v>Tersedia</v>
      </c>
      <c r="O51" s="5" t="s">
        <v>76</v>
      </c>
    </row>
    <row r="52" spans="1:15" x14ac:dyDescent="0.35">
      <c r="A52" s="2" t="s">
        <v>201</v>
      </c>
      <c r="B52" s="2" t="s">
        <v>72</v>
      </c>
      <c r="C52" s="2" t="s">
        <v>73</v>
      </c>
      <c r="D52" s="2" t="s">
        <v>74</v>
      </c>
      <c r="E52" s="2" t="s">
        <v>34</v>
      </c>
      <c r="F52" s="3" t="s">
        <v>202</v>
      </c>
      <c r="G52" s="3" t="s">
        <v>203</v>
      </c>
      <c r="H52" s="4">
        <v>200</v>
      </c>
      <c r="I52" s="4">
        <v>198</v>
      </c>
      <c r="J52" s="4">
        <f t="shared" si="0"/>
        <v>2</v>
      </c>
      <c r="K52" s="4">
        <v>240000</v>
      </c>
      <c r="L52" s="4">
        <f t="shared" si="1"/>
        <v>480000</v>
      </c>
      <c r="M52" s="2" t="s">
        <v>43</v>
      </c>
      <c r="N52" s="3" t="str">
        <f t="shared" si="2"/>
        <v>Menipis</v>
      </c>
      <c r="O52" s="2" t="s">
        <v>70</v>
      </c>
    </row>
    <row r="53" spans="1:15" x14ac:dyDescent="0.35">
      <c r="A53" s="5" t="s">
        <v>111</v>
      </c>
      <c r="B53" s="5" t="s">
        <v>55</v>
      </c>
      <c r="C53" s="5" t="s">
        <v>39</v>
      </c>
      <c r="D53" s="5" t="s">
        <v>40</v>
      </c>
      <c r="E53" s="5" t="s">
        <v>19</v>
      </c>
      <c r="F53" s="6" t="s">
        <v>204</v>
      </c>
      <c r="G53" s="6"/>
      <c r="H53" s="7">
        <v>5</v>
      </c>
      <c r="I53" s="7">
        <v>0</v>
      </c>
      <c r="J53" s="7">
        <f t="shared" si="0"/>
        <v>5</v>
      </c>
      <c r="K53" s="7">
        <v>1850000</v>
      </c>
      <c r="L53" s="7">
        <f t="shared" si="1"/>
        <v>9250000</v>
      </c>
      <c r="M53" s="5" t="s">
        <v>30</v>
      </c>
      <c r="N53" s="6" t="str">
        <f t="shared" si="2"/>
        <v>Menipis</v>
      </c>
      <c r="O53" s="5" t="s">
        <v>70</v>
      </c>
    </row>
    <row r="54" spans="1:15" x14ac:dyDescent="0.35">
      <c r="A54" s="2" t="s">
        <v>205</v>
      </c>
      <c r="B54" s="2" t="s">
        <v>206</v>
      </c>
      <c r="C54" s="2" t="s">
        <v>73</v>
      </c>
      <c r="D54" s="2" t="s">
        <v>74</v>
      </c>
      <c r="E54" s="2" t="s">
        <v>19</v>
      </c>
      <c r="F54" s="3" t="s">
        <v>207</v>
      </c>
      <c r="G54" s="3"/>
      <c r="H54" s="4">
        <v>100</v>
      </c>
      <c r="I54" s="4">
        <v>0</v>
      </c>
      <c r="J54" s="4">
        <f t="shared" si="0"/>
        <v>100</v>
      </c>
      <c r="K54" s="4">
        <v>45000</v>
      </c>
      <c r="L54" s="4">
        <f t="shared" si="1"/>
        <v>4500000</v>
      </c>
      <c r="M54" s="2" t="s">
        <v>85</v>
      </c>
      <c r="N54" s="3" t="str">
        <f t="shared" si="2"/>
        <v>Tersedia</v>
      </c>
      <c r="O54" s="2" t="s">
        <v>31</v>
      </c>
    </row>
    <row r="55" spans="1:15" x14ac:dyDescent="0.35">
      <c r="A55" s="5" t="s">
        <v>79</v>
      </c>
      <c r="B55" s="5" t="s">
        <v>206</v>
      </c>
      <c r="C55" s="5" t="s">
        <v>73</v>
      </c>
      <c r="D55" s="5" t="s">
        <v>74</v>
      </c>
      <c r="E55" s="5" t="s">
        <v>47</v>
      </c>
      <c r="F55" s="6" t="s">
        <v>208</v>
      </c>
      <c r="G55" s="6" t="s">
        <v>209</v>
      </c>
      <c r="H55" s="7">
        <v>10</v>
      </c>
      <c r="I55" s="7">
        <v>9</v>
      </c>
      <c r="J55" s="7">
        <f t="shared" si="0"/>
        <v>1</v>
      </c>
      <c r="K55" s="7">
        <v>45000</v>
      </c>
      <c r="L55" s="7">
        <f t="shared" si="1"/>
        <v>45000</v>
      </c>
      <c r="M55" s="5" t="s">
        <v>30</v>
      </c>
      <c r="N55" s="6" t="str">
        <f t="shared" si="2"/>
        <v>Menipis</v>
      </c>
      <c r="O55" s="5" t="s">
        <v>70</v>
      </c>
    </row>
    <row r="56" spans="1:15" x14ac:dyDescent="0.35">
      <c r="A56" s="2" t="s">
        <v>210</v>
      </c>
      <c r="B56" s="2" t="s">
        <v>61</v>
      </c>
      <c r="C56" s="2" t="s">
        <v>62</v>
      </c>
      <c r="D56" s="2" t="s">
        <v>63</v>
      </c>
      <c r="E56" s="2" t="s">
        <v>56</v>
      </c>
      <c r="F56" s="3" t="s">
        <v>211</v>
      </c>
      <c r="G56" s="3" t="s">
        <v>212</v>
      </c>
      <c r="H56" s="4">
        <v>10</v>
      </c>
      <c r="I56" s="4">
        <v>7</v>
      </c>
      <c r="J56" s="4">
        <f t="shared" si="0"/>
        <v>3</v>
      </c>
      <c r="K56" s="4">
        <v>350000</v>
      </c>
      <c r="L56" s="4">
        <f t="shared" si="1"/>
        <v>1050000</v>
      </c>
      <c r="M56" s="2" t="s">
        <v>22</v>
      </c>
      <c r="N56" s="3" t="str">
        <f t="shared" si="2"/>
        <v>Menipis</v>
      </c>
      <c r="O56" s="2" t="s">
        <v>23</v>
      </c>
    </row>
    <row r="57" spans="1:15" x14ac:dyDescent="0.35">
      <c r="A57" s="5" t="s">
        <v>213</v>
      </c>
      <c r="B57" s="5" t="s">
        <v>88</v>
      </c>
      <c r="C57" s="5" t="s">
        <v>73</v>
      </c>
      <c r="D57" s="5" t="s">
        <v>74</v>
      </c>
      <c r="E57" s="5" t="s">
        <v>56</v>
      </c>
      <c r="F57" s="6" t="s">
        <v>214</v>
      </c>
      <c r="G57" s="6" t="s">
        <v>215</v>
      </c>
      <c r="H57" s="7">
        <v>100</v>
      </c>
      <c r="I57" s="7">
        <v>23</v>
      </c>
      <c r="J57" s="7">
        <f t="shared" si="0"/>
        <v>77</v>
      </c>
      <c r="K57" s="7">
        <v>650000</v>
      </c>
      <c r="L57" s="7">
        <f t="shared" si="1"/>
        <v>50050000</v>
      </c>
      <c r="M57" s="5" t="s">
        <v>30</v>
      </c>
      <c r="N57" s="6" t="str">
        <f t="shared" si="2"/>
        <v>Tersedia</v>
      </c>
      <c r="O57" s="5" t="s">
        <v>59</v>
      </c>
    </row>
    <row r="58" spans="1:15" x14ac:dyDescent="0.35">
      <c r="A58" s="2" t="s">
        <v>216</v>
      </c>
      <c r="B58" s="2" t="s">
        <v>217</v>
      </c>
      <c r="C58" s="2" t="s">
        <v>26</v>
      </c>
      <c r="D58" s="2" t="s">
        <v>27</v>
      </c>
      <c r="E58" s="2" t="s">
        <v>68</v>
      </c>
      <c r="F58" s="3" t="s">
        <v>218</v>
      </c>
      <c r="G58" s="3"/>
      <c r="H58" s="4">
        <v>100</v>
      </c>
      <c r="I58" s="4">
        <v>0</v>
      </c>
      <c r="J58" s="4">
        <f t="shared" si="0"/>
        <v>100</v>
      </c>
      <c r="K58" s="4">
        <v>55000</v>
      </c>
      <c r="L58" s="4">
        <f t="shared" si="1"/>
        <v>5500000</v>
      </c>
      <c r="M58" s="2" t="s">
        <v>22</v>
      </c>
      <c r="N58" s="3" t="str">
        <f t="shared" si="2"/>
        <v>Tersedia</v>
      </c>
      <c r="O58" s="2" t="s">
        <v>44</v>
      </c>
    </row>
    <row r="59" spans="1:15" x14ac:dyDescent="0.35">
      <c r="A59" s="5" t="s">
        <v>219</v>
      </c>
      <c r="B59" s="5" t="s">
        <v>165</v>
      </c>
      <c r="C59" s="5" t="s">
        <v>17</v>
      </c>
      <c r="D59" s="5" t="s">
        <v>18</v>
      </c>
      <c r="E59" s="5" t="s">
        <v>34</v>
      </c>
      <c r="F59" s="6" t="s">
        <v>148</v>
      </c>
      <c r="G59" s="6" t="s">
        <v>207</v>
      </c>
      <c r="H59" s="7">
        <v>200</v>
      </c>
      <c r="I59" s="7">
        <v>156</v>
      </c>
      <c r="J59" s="7">
        <f t="shared" si="0"/>
        <v>44</v>
      </c>
      <c r="K59" s="7">
        <v>35000</v>
      </c>
      <c r="L59" s="7">
        <f t="shared" si="1"/>
        <v>1540000</v>
      </c>
      <c r="M59" s="5" t="s">
        <v>30</v>
      </c>
      <c r="N59" s="6" t="str">
        <f t="shared" si="2"/>
        <v>Tersedia</v>
      </c>
      <c r="O59" s="5" t="s">
        <v>44</v>
      </c>
    </row>
    <row r="60" spans="1:15" x14ac:dyDescent="0.35">
      <c r="A60" s="2" t="s">
        <v>164</v>
      </c>
      <c r="B60" s="2" t="s">
        <v>114</v>
      </c>
      <c r="C60" s="2" t="s">
        <v>17</v>
      </c>
      <c r="D60" s="2" t="s">
        <v>18</v>
      </c>
      <c r="E60" s="2" t="s">
        <v>34</v>
      </c>
      <c r="F60" s="3" t="s">
        <v>220</v>
      </c>
      <c r="G60" s="3" t="s">
        <v>140</v>
      </c>
      <c r="H60" s="4">
        <v>10</v>
      </c>
      <c r="I60" s="4">
        <v>3</v>
      </c>
      <c r="J60" s="4">
        <f t="shared" si="0"/>
        <v>7</v>
      </c>
      <c r="K60" s="4">
        <v>85000</v>
      </c>
      <c r="L60" s="4">
        <f t="shared" si="1"/>
        <v>595000</v>
      </c>
      <c r="M60" s="2" t="s">
        <v>30</v>
      </c>
      <c r="N60" s="3" t="str">
        <f t="shared" si="2"/>
        <v>Tersedia</v>
      </c>
      <c r="O60" s="2" t="s">
        <v>76</v>
      </c>
    </row>
    <row r="61" spans="1:15" x14ac:dyDescent="0.35">
      <c r="A61" s="5" t="s">
        <v>221</v>
      </c>
      <c r="B61" s="5" t="s">
        <v>80</v>
      </c>
      <c r="C61" s="5" t="s">
        <v>81</v>
      </c>
      <c r="D61" s="5" t="s">
        <v>82</v>
      </c>
      <c r="E61" s="5" t="s">
        <v>47</v>
      </c>
      <c r="F61" s="6" t="s">
        <v>222</v>
      </c>
      <c r="G61" s="6"/>
      <c r="H61" s="7">
        <v>20</v>
      </c>
      <c r="I61" s="7">
        <v>0</v>
      </c>
      <c r="J61" s="7">
        <f t="shared" si="0"/>
        <v>20</v>
      </c>
      <c r="K61" s="7">
        <v>280000</v>
      </c>
      <c r="L61" s="7">
        <f t="shared" si="1"/>
        <v>5600000</v>
      </c>
      <c r="M61" s="5" t="s">
        <v>85</v>
      </c>
      <c r="N61" s="6" t="str">
        <f t="shared" si="2"/>
        <v>Tersedia</v>
      </c>
      <c r="O61" s="5" t="s">
        <v>86</v>
      </c>
    </row>
    <row r="62" spans="1:15" x14ac:dyDescent="0.35">
      <c r="A62" s="2" t="s">
        <v>223</v>
      </c>
      <c r="B62" s="2" t="s">
        <v>100</v>
      </c>
      <c r="C62" s="2" t="s">
        <v>81</v>
      </c>
      <c r="D62" s="2" t="s">
        <v>82</v>
      </c>
      <c r="E62" s="2" t="s">
        <v>151</v>
      </c>
      <c r="F62" s="3" t="s">
        <v>224</v>
      </c>
      <c r="G62" s="3" t="s">
        <v>225</v>
      </c>
      <c r="H62" s="4">
        <v>200</v>
      </c>
      <c r="I62" s="4">
        <v>13</v>
      </c>
      <c r="J62" s="4">
        <f t="shared" si="0"/>
        <v>187</v>
      </c>
      <c r="K62" s="4">
        <v>220000</v>
      </c>
      <c r="L62" s="4">
        <f t="shared" si="1"/>
        <v>41140000</v>
      </c>
      <c r="M62" s="2" t="s">
        <v>35</v>
      </c>
      <c r="N62" s="3" t="str">
        <f t="shared" si="2"/>
        <v>Tersedia</v>
      </c>
      <c r="O62" s="2" t="s">
        <v>31</v>
      </c>
    </row>
    <row r="63" spans="1:15" x14ac:dyDescent="0.35">
      <c r="A63" s="5" t="s">
        <v>226</v>
      </c>
      <c r="B63" s="5" t="s">
        <v>206</v>
      </c>
      <c r="C63" s="5" t="s">
        <v>73</v>
      </c>
      <c r="D63" s="5" t="s">
        <v>74</v>
      </c>
      <c r="E63" s="5" t="s">
        <v>52</v>
      </c>
      <c r="F63" s="6" t="s">
        <v>227</v>
      </c>
      <c r="G63" s="6"/>
      <c r="H63" s="7">
        <v>10</v>
      </c>
      <c r="I63" s="7">
        <v>0</v>
      </c>
      <c r="J63" s="7">
        <f t="shared" si="0"/>
        <v>10</v>
      </c>
      <c r="K63" s="7">
        <v>45000</v>
      </c>
      <c r="L63" s="7">
        <f t="shared" si="1"/>
        <v>450000</v>
      </c>
      <c r="M63" s="5" t="s">
        <v>43</v>
      </c>
      <c r="N63" s="6" t="str">
        <f t="shared" si="2"/>
        <v>Tersedia</v>
      </c>
      <c r="O63" s="5" t="s">
        <v>59</v>
      </c>
    </row>
    <row r="64" spans="1:15" x14ac:dyDescent="0.35">
      <c r="A64" s="2" t="s">
        <v>228</v>
      </c>
      <c r="B64" s="2" t="s">
        <v>25</v>
      </c>
      <c r="C64" s="2" t="s">
        <v>26</v>
      </c>
      <c r="D64" s="2" t="s">
        <v>27</v>
      </c>
      <c r="E64" s="2" t="s">
        <v>68</v>
      </c>
      <c r="F64" s="3" t="s">
        <v>229</v>
      </c>
      <c r="G64" s="3" t="s">
        <v>148</v>
      </c>
      <c r="H64" s="4">
        <v>200</v>
      </c>
      <c r="I64" s="4">
        <v>147</v>
      </c>
      <c r="J64" s="4">
        <f t="shared" si="0"/>
        <v>53</v>
      </c>
      <c r="K64" s="4">
        <v>45000</v>
      </c>
      <c r="L64" s="4">
        <f t="shared" si="1"/>
        <v>2385000</v>
      </c>
      <c r="M64" s="2" t="s">
        <v>30</v>
      </c>
      <c r="N64" s="3" t="str">
        <f t="shared" si="2"/>
        <v>Tersedia</v>
      </c>
      <c r="O64" s="2" t="s">
        <v>59</v>
      </c>
    </row>
    <row r="65" spans="1:15" x14ac:dyDescent="0.35">
      <c r="A65" s="5" t="s">
        <v>230</v>
      </c>
      <c r="B65" s="5" t="s">
        <v>61</v>
      </c>
      <c r="C65" s="5" t="s">
        <v>62</v>
      </c>
      <c r="D65" s="5" t="s">
        <v>63</v>
      </c>
      <c r="E65" s="5" t="s">
        <v>34</v>
      </c>
      <c r="F65" s="6" t="s">
        <v>231</v>
      </c>
      <c r="G65" s="6" t="s">
        <v>65</v>
      </c>
      <c r="H65" s="7">
        <v>10</v>
      </c>
      <c r="I65" s="7">
        <v>8</v>
      </c>
      <c r="J65" s="7">
        <f t="shared" si="0"/>
        <v>2</v>
      </c>
      <c r="K65" s="7">
        <v>350000</v>
      </c>
      <c r="L65" s="7">
        <f t="shared" si="1"/>
        <v>700000</v>
      </c>
      <c r="M65" s="5" t="s">
        <v>22</v>
      </c>
      <c r="N65" s="6" t="str">
        <f t="shared" si="2"/>
        <v>Menipis</v>
      </c>
      <c r="O65" s="5" t="s">
        <v>76</v>
      </c>
    </row>
    <row r="66" spans="1:15" x14ac:dyDescent="0.35">
      <c r="A66" s="2" t="s">
        <v>232</v>
      </c>
      <c r="B66" s="2" t="s">
        <v>165</v>
      </c>
      <c r="C66" s="2" t="s">
        <v>17</v>
      </c>
      <c r="D66" s="2" t="s">
        <v>18</v>
      </c>
      <c r="E66" s="2" t="s">
        <v>34</v>
      </c>
      <c r="F66" s="3" t="s">
        <v>202</v>
      </c>
      <c r="G66" s="3" t="s">
        <v>233</v>
      </c>
      <c r="H66" s="4">
        <v>20</v>
      </c>
      <c r="I66" s="4">
        <v>8</v>
      </c>
      <c r="J66" s="4">
        <f t="shared" ref="J66:J129" si="3">H66-I66</f>
        <v>12</v>
      </c>
      <c r="K66" s="4">
        <v>35000</v>
      </c>
      <c r="L66" s="4">
        <f t="shared" ref="L66:L129" si="4">J66*K66</f>
        <v>420000</v>
      </c>
      <c r="M66" s="2" t="s">
        <v>85</v>
      </c>
      <c r="N66" s="3" t="str">
        <f t="shared" ref="N66:N129" si="5">IF(J66&lt;=0,"Habis",IF(J66&lt;=5,"Menipis","Tersedia"))</f>
        <v>Tersedia</v>
      </c>
      <c r="O66" s="2" t="s">
        <v>86</v>
      </c>
    </row>
    <row r="67" spans="1:15" x14ac:dyDescent="0.35">
      <c r="A67" s="5" t="s">
        <v>234</v>
      </c>
      <c r="B67" s="5" t="s">
        <v>150</v>
      </c>
      <c r="C67" s="5" t="s">
        <v>81</v>
      </c>
      <c r="D67" s="5" t="s">
        <v>82</v>
      </c>
      <c r="E67" s="5" t="s">
        <v>34</v>
      </c>
      <c r="F67" s="6" t="s">
        <v>235</v>
      </c>
      <c r="G67" s="6" t="s">
        <v>236</v>
      </c>
      <c r="H67" s="7">
        <v>150</v>
      </c>
      <c r="I67" s="7">
        <v>129</v>
      </c>
      <c r="J67" s="7">
        <f t="shared" si="3"/>
        <v>21</v>
      </c>
      <c r="K67" s="7">
        <v>85000</v>
      </c>
      <c r="L67" s="7">
        <f t="shared" si="4"/>
        <v>1785000</v>
      </c>
      <c r="M67" s="5" t="s">
        <v>85</v>
      </c>
      <c r="N67" s="6" t="str">
        <f t="shared" si="5"/>
        <v>Tersedia</v>
      </c>
      <c r="O67" s="5" t="s">
        <v>86</v>
      </c>
    </row>
    <row r="68" spans="1:15" x14ac:dyDescent="0.35">
      <c r="A68" s="2" t="s">
        <v>237</v>
      </c>
      <c r="B68" s="2" t="s">
        <v>127</v>
      </c>
      <c r="C68" s="2" t="s">
        <v>39</v>
      </c>
      <c r="D68" s="2" t="s">
        <v>40</v>
      </c>
      <c r="E68" s="2" t="s">
        <v>52</v>
      </c>
      <c r="F68" s="3" t="s">
        <v>163</v>
      </c>
      <c r="G68" s="3" t="s">
        <v>238</v>
      </c>
      <c r="H68" s="4">
        <v>2</v>
      </c>
      <c r="I68" s="4">
        <v>1</v>
      </c>
      <c r="J68" s="4">
        <f t="shared" si="3"/>
        <v>1</v>
      </c>
      <c r="K68" s="4">
        <v>1550000</v>
      </c>
      <c r="L68" s="4">
        <f t="shared" si="4"/>
        <v>1550000</v>
      </c>
      <c r="M68" s="2" t="s">
        <v>22</v>
      </c>
      <c r="N68" s="3" t="str">
        <f t="shared" si="5"/>
        <v>Menipis</v>
      </c>
      <c r="O68" s="2" t="s">
        <v>44</v>
      </c>
    </row>
    <row r="69" spans="1:15" x14ac:dyDescent="0.35">
      <c r="A69" s="5" t="s">
        <v>239</v>
      </c>
      <c r="B69" s="5" t="s">
        <v>16</v>
      </c>
      <c r="C69" s="5" t="s">
        <v>17</v>
      </c>
      <c r="D69" s="5" t="s">
        <v>18</v>
      </c>
      <c r="E69" s="5" t="s">
        <v>52</v>
      </c>
      <c r="F69" s="6" t="s">
        <v>240</v>
      </c>
      <c r="G69" s="6"/>
      <c r="H69" s="7">
        <v>20</v>
      </c>
      <c r="I69" s="7">
        <v>0</v>
      </c>
      <c r="J69" s="7">
        <f t="shared" si="3"/>
        <v>20</v>
      </c>
      <c r="K69" s="7">
        <v>45000</v>
      </c>
      <c r="L69" s="7">
        <f t="shared" si="4"/>
        <v>900000</v>
      </c>
      <c r="M69" s="5" t="s">
        <v>35</v>
      </c>
      <c r="N69" s="6" t="str">
        <f t="shared" si="5"/>
        <v>Tersedia</v>
      </c>
      <c r="O69" s="5" t="s">
        <v>36</v>
      </c>
    </row>
    <row r="70" spans="1:15" x14ac:dyDescent="0.35">
      <c r="A70" s="2" t="s">
        <v>241</v>
      </c>
      <c r="B70" s="2" t="s">
        <v>100</v>
      </c>
      <c r="C70" s="2" t="s">
        <v>81</v>
      </c>
      <c r="D70" s="2" t="s">
        <v>82</v>
      </c>
      <c r="E70" s="2" t="s">
        <v>68</v>
      </c>
      <c r="F70" s="3" t="s">
        <v>242</v>
      </c>
      <c r="G70" s="3" t="s">
        <v>212</v>
      </c>
      <c r="H70" s="4">
        <v>20</v>
      </c>
      <c r="I70" s="4">
        <v>15</v>
      </c>
      <c r="J70" s="4">
        <f t="shared" si="3"/>
        <v>5</v>
      </c>
      <c r="K70" s="4">
        <v>220000</v>
      </c>
      <c r="L70" s="4">
        <f t="shared" si="4"/>
        <v>1100000</v>
      </c>
      <c r="M70" s="2" t="s">
        <v>30</v>
      </c>
      <c r="N70" s="3" t="str">
        <f t="shared" si="5"/>
        <v>Menipis</v>
      </c>
      <c r="O70" s="2" t="s">
        <v>44</v>
      </c>
    </row>
    <row r="71" spans="1:15" x14ac:dyDescent="0.35">
      <c r="A71" s="5" t="s">
        <v>132</v>
      </c>
      <c r="B71" s="5" t="s">
        <v>144</v>
      </c>
      <c r="C71" s="5" t="s">
        <v>39</v>
      </c>
      <c r="D71" s="5" t="s">
        <v>40</v>
      </c>
      <c r="E71" s="5" t="s">
        <v>47</v>
      </c>
      <c r="F71" s="6" t="s">
        <v>218</v>
      </c>
      <c r="G71" s="6"/>
      <c r="H71" s="7">
        <v>2</v>
      </c>
      <c r="I71" s="7">
        <v>0</v>
      </c>
      <c r="J71" s="7">
        <f t="shared" si="3"/>
        <v>2</v>
      </c>
      <c r="K71" s="7">
        <v>2450000</v>
      </c>
      <c r="L71" s="7">
        <f t="shared" si="4"/>
        <v>4900000</v>
      </c>
      <c r="M71" s="5" t="s">
        <v>30</v>
      </c>
      <c r="N71" s="6" t="str">
        <f t="shared" si="5"/>
        <v>Menipis</v>
      </c>
      <c r="O71" s="5" t="s">
        <v>86</v>
      </c>
    </row>
    <row r="72" spans="1:15" x14ac:dyDescent="0.35">
      <c r="A72" s="2" t="s">
        <v>243</v>
      </c>
      <c r="B72" s="2" t="s">
        <v>72</v>
      </c>
      <c r="C72" s="2" t="s">
        <v>73</v>
      </c>
      <c r="D72" s="2" t="s">
        <v>74</v>
      </c>
      <c r="E72" s="2" t="s">
        <v>68</v>
      </c>
      <c r="F72" s="3" t="s">
        <v>244</v>
      </c>
      <c r="G72" s="3" t="s">
        <v>245</v>
      </c>
      <c r="H72" s="4">
        <v>50</v>
      </c>
      <c r="I72" s="4">
        <v>50</v>
      </c>
      <c r="J72" s="4">
        <f t="shared" si="3"/>
        <v>0</v>
      </c>
      <c r="K72" s="4">
        <v>240000</v>
      </c>
      <c r="L72" s="4">
        <f t="shared" si="4"/>
        <v>0</v>
      </c>
      <c r="M72" s="2" t="s">
        <v>35</v>
      </c>
      <c r="N72" s="3" t="str">
        <f t="shared" si="5"/>
        <v>Habis</v>
      </c>
      <c r="O72" s="2" t="s">
        <v>76</v>
      </c>
    </row>
    <row r="73" spans="1:15" x14ac:dyDescent="0.35">
      <c r="A73" s="5" t="s">
        <v>246</v>
      </c>
      <c r="B73" s="5" t="s">
        <v>206</v>
      </c>
      <c r="C73" s="5" t="s">
        <v>73</v>
      </c>
      <c r="D73" s="5" t="s">
        <v>74</v>
      </c>
      <c r="E73" s="5" t="s">
        <v>101</v>
      </c>
      <c r="F73" s="6" t="s">
        <v>247</v>
      </c>
      <c r="G73" s="6" t="s">
        <v>248</v>
      </c>
      <c r="H73" s="7">
        <v>100</v>
      </c>
      <c r="I73" s="7">
        <v>92</v>
      </c>
      <c r="J73" s="7">
        <f t="shared" si="3"/>
        <v>8</v>
      </c>
      <c r="K73" s="7">
        <v>45000</v>
      </c>
      <c r="L73" s="7">
        <f t="shared" si="4"/>
        <v>360000</v>
      </c>
      <c r="M73" s="5" t="s">
        <v>30</v>
      </c>
      <c r="N73" s="6" t="str">
        <f t="shared" si="5"/>
        <v>Tersedia</v>
      </c>
      <c r="O73" s="5" t="s">
        <v>36</v>
      </c>
    </row>
    <row r="74" spans="1:15" x14ac:dyDescent="0.35">
      <c r="A74" s="2" t="s">
        <v>249</v>
      </c>
      <c r="B74" s="2" t="s">
        <v>117</v>
      </c>
      <c r="C74" s="2" t="s">
        <v>81</v>
      </c>
      <c r="D74" s="2" t="s">
        <v>82</v>
      </c>
      <c r="E74" s="2" t="s">
        <v>47</v>
      </c>
      <c r="F74" s="3" t="s">
        <v>189</v>
      </c>
      <c r="G74" s="3" t="s">
        <v>146</v>
      </c>
      <c r="H74" s="4">
        <v>20</v>
      </c>
      <c r="I74" s="4">
        <v>11</v>
      </c>
      <c r="J74" s="4">
        <f t="shared" si="3"/>
        <v>9</v>
      </c>
      <c r="K74" s="4">
        <v>310000</v>
      </c>
      <c r="L74" s="4">
        <f t="shared" si="4"/>
        <v>2790000</v>
      </c>
      <c r="M74" s="2" t="s">
        <v>22</v>
      </c>
      <c r="N74" s="3" t="str">
        <f t="shared" si="5"/>
        <v>Tersedia</v>
      </c>
      <c r="O74" s="2" t="s">
        <v>59</v>
      </c>
    </row>
    <row r="75" spans="1:15" x14ac:dyDescent="0.35">
      <c r="A75" s="5" t="s">
        <v>250</v>
      </c>
      <c r="B75" s="5" t="s">
        <v>25</v>
      </c>
      <c r="C75" s="5" t="s">
        <v>26</v>
      </c>
      <c r="D75" s="5" t="s">
        <v>27</v>
      </c>
      <c r="E75" s="5" t="s">
        <v>96</v>
      </c>
      <c r="F75" s="6" t="s">
        <v>251</v>
      </c>
      <c r="G75" s="6" t="s">
        <v>252</v>
      </c>
      <c r="H75" s="7">
        <v>20</v>
      </c>
      <c r="I75" s="7">
        <v>12</v>
      </c>
      <c r="J75" s="7">
        <f t="shared" si="3"/>
        <v>8</v>
      </c>
      <c r="K75" s="7">
        <v>45000</v>
      </c>
      <c r="L75" s="7">
        <f t="shared" si="4"/>
        <v>360000</v>
      </c>
      <c r="M75" s="5" t="s">
        <v>30</v>
      </c>
      <c r="N75" s="6" t="str">
        <f t="shared" si="5"/>
        <v>Tersedia</v>
      </c>
      <c r="O75" s="5" t="s">
        <v>36</v>
      </c>
    </row>
    <row r="76" spans="1:15" x14ac:dyDescent="0.35">
      <c r="A76" s="2" t="s">
        <v>253</v>
      </c>
      <c r="B76" s="2" t="s">
        <v>61</v>
      </c>
      <c r="C76" s="2" t="s">
        <v>62</v>
      </c>
      <c r="D76" s="2" t="s">
        <v>63</v>
      </c>
      <c r="E76" s="2" t="s">
        <v>64</v>
      </c>
      <c r="F76" s="3" t="s">
        <v>254</v>
      </c>
      <c r="G76" s="3" t="s">
        <v>255</v>
      </c>
      <c r="H76" s="4">
        <v>150</v>
      </c>
      <c r="I76" s="4">
        <v>66</v>
      </c>
      <c r="J76" s="4">
        <f t="shared" si="3"/>
        <v>84</v>
      </c>
      <c r="K76" s="4">
        <v>350000</v>
      </c>
      <c r="L76" s="4">
        <f t="shared" si="4"/>
        <v>29400000</v>
      </c>
      <c r="M76" s="2" t="s">
        <v>43</v>
      </c>
      <c r="N76" s="3" t="str">
        <f t="shared" si="5"/>
        <v>Tersedia</v>
      </c>
      <c r="O76" s="2" t="s">
        <v>59</v>
      </c>
    </row>
    <row r="77" spans="1:15" x14ac:dyDescent="0.35">
      <c r="A77" s="5" t="s">
        <v>256</v>
      </c>
      <c r="B77" s="5" t="s">
        <v>138</v>
      </c>
      <c r="C77" s="5" t="s">
        <v>62</v>
      </c>
      <c r="D77" s="5" t="s">
        <v>63</v>
      </c>
      <c r="E77" s="5" t="s">
        <v>56</v>
      </c>
      <c r="F77" s="6" t="s">
        <v>257</v>
      </c>
      <c r="G77" s="6" t="s">
        <v>136</v>
      </c>
      <c r="H77" s="7">
        <v>100</v>
      </c>
      <c r="I77" s="7">
        <v>91</v>
      </c>
      <c r="J77" s="7">
        <f t="shared" si="3"/>
        <v>9</v>
      </c>
      <c r="K77" s="7">
        <v>450000</v>
      </c>
      <c r="L77" s="7">
        <f t="shared" si="4"/>
        <v>4050000</v>
      </c>
      <c r="M77" s="5" t="s">
        <v>22</v>
      </c>
      <c r="N77" s="6" t="str">
        <f t="shared" si="5"/>
        <v>Tersedia</v>
      </c>
      <c r="O77" s="5" t="s">
        <v>44</v>
      </c>
    </row>
    <row r="78" spans="1:15" x14ac:dyDescent="0.35">
      <c r="A78" s="2" t="s">
        <v>258</v>
      </c>
      <c r="B78" s="2" t="s">
        <v>217</v>
      </c>
      <c r="C78" s="2" t="s">
        <v>26</v>
      </c>
      <c r="D78" s="2" t="s">
        <v>27</v>
      </c>
      <c r="E78" s="2" t="s">
        <v>64</v>
      </c>
      <c r="F78" s="3" t="s">
        <v>142</v>
      </c>
      <c r="G78" s="3" t="s">
        <v>259</v>
      </c>
      <c r="H78" s="4">
        <v>20</v>
      </c>
      <c r="I78" s="4">
        <v>12</v>
      </c>
      <c r="J78" s="4">
        <f t="shared" si="3"/>
        <v>8</v>
      </c>
      <c r="K78" s="4">
        <v>55000</v>
      </c>
      <c r="L78" s="4">
        <f t="shared" si="4"/>
        <v>440000</v>
      </c>
      <c r="M78" s="2" t="s">
        <v>43</v>
      </c>
      <c r="N78" s="3" t="str">
        <f t="shared" si="5"/>
        <v>Tersedia</v>
      </c>
      <c r="O78" s="2" t="s">
        <v>36</v>
      </c>
    </row>
    <row r="79" spans="1:15" x14ac:dyDescent="0.35">
      <c r="A79" s="5" t="s">
        <v>260</v>
      </c>
      <c r="B79" s="5" t="s">
        <v>72</v>
      </c>
      <c r="C79" s="5" t="s">
        <v>73</v>
      </c>
      <c r="D79" s="5" t="s">
        <v>74</v>
      </c>
      <c r="E79" s="5" t="s">
        <v>64</v>
      </c>
      <c r="F79" s="6" t="s">
        <v>136</v>
      </c>
      <c r="G79" s="6"/>
      <c r="H79" s="7">
        <v>20</v>
      </c>
      <c r="I79" s="7">
        <v>0</v>
      </c>
      <c r="J79" s="7">
        <f t="shared" si="3"/>
        <v>20</v>
      </c>
      <c r="K79" s="7">
        <v>240000</v>
      </c>
      <c r="L79" s="7">
        <f t="shared" si="4"/>
        <v>4800000</v>
      </c>
      <c r="M79" s="5" t="s">
        <v>85</v>
      </c>
      <c r="N79" s="6" t="str">
        <f t="shared" si="5"/>
        <v>Tersedia</v>
      </c>
      <c r="O79" s="5" t="s">
        <v>23</v>
      </c>
    </row>
    <row r="80" spans="1:15" x14ac:dyDescent="0.35">
      <c r="A80" s="2" t="s">
        <v>261</v>
      </c>
      <c r="B80" s="2" t="s">
        <v>150</v>
      </c>
      <c r="C80" s="2" t="s">
        <v>81</v>
      </c>
      <c r="D80" s="2" t="s">
        <v>82</v>
      </c>
      <c r="E80" s="2" t="s">
        <v>96</v>
      </c>
      <c r="F80" s="3" t="s">
        <v>75</v>
      </c>
      <c r="G80" s="3" t="s">
        <v>262</v>
      </c>
      <c r="H80" s="4">
        <v>50</v>
      </c>
      <c r="I80" s="4">
        <v>38</v>
      </c>
      <c r="J80" s="4">
        <f t="shared" si="3"/>
        <v>12</v>
      </c>
      <c r="K80" s="4">
        <v>85000</v>
      </c>
      <c r="L80" s="4">
        <f t="shared" si="4"/>
        <v>1020000</v>
      </c>
      <c r="M80" s="2" t="s">
        <v>85</v>
      </c>
      <c r="N80" s="3" t="str">
        <f t="shared" si="5"/>
        <v>Tersedia</v>
      </c>
      <c r="O80" s="2" t="s">
        <v>44</v>
      </c>
    </row>
    <row r="81" spans="1:15" x14ac:dyDescent="0.35">
      <c r="A81" s="5" t="s">
        <v>249</v>
      </c>
      <c r="B81" s="5" t="s">
        <v>72</v>
      </c>
      <c r="C81" s="5" t="s">
        <v>73</v>
      </c>
      <c r="D81" s="5" t="s">
        <v>74</v>
      </c>
      <c r="E81" s="5" t="s">
        <v>64</v>
      </c>
      <c r="F81" s="6" t="s">
        <v>115</v>
      </c>
      <c r="G81" s="6"/>
      <c r="H81" s="7">
        <v>150</v>
      </c>
      <c r="I81" s="7">
        <v>0</v>
      </c>
      <c r="J81" s="7">
        <f t="shared" si="3"/>
        <v>150</v>
      </c>
      <c r="K81" s="7">
        <v>240000</v>
      </c>
      <c r="L81" s="7">
        <f t="shared" si="4"/>
        <v>36000000</v>
      </c>
      <c r="M81" s="5" t="s">
        <v>43</v>
      </c>
      <c r="N81" s="6" t="str">
        <f t="shared" si="5"/>
        <v>Tersedia</v>
      </c>
      <c r="O81" s="5" t="s">
        <v>36</v>
      </c>
    </row>
    <row r="82" spans="1:15" x14ac:dyDescent="0.35">
      <c r="A82" s="2" t="s">
        <v>263</v>
      </c>
      <c r="B82" s="2" t="s">
        <v>16</v>
      </c>
      <c r="C82" s="2" t="s">
        <v>17</v>
      </c>
      <c r="D82" s="2" t="s">
        <v>18</v>
      </c>
      <c r="E82" s="2" t="s">
        <v>151</v>
      </c>
      <c r="F82" s="3" t="s">
        <v>264</v>
      </c>
      <c r="G82" s="3" t="s">
        <v>265</v>
      </c>
      <c r="H82" s="4">
        <v>20</v>
      </c>
      <c r="I82" s="4">
        <v>11</v>
      </c>
      <c r="J82" s="4">
        <f t="shared" si="3"/>
        <v>9</v>
      </c>
      <c r="K82" s="4">
        <v>45000</v>
      </c>
      <c r="L82" s="4">
        <f t="shared" si="4"/>
        <v>405000</v>
      </c>
      <c r="M82" s="2" t="s">
        <v>30</v>
      </c>
      <c r="N82" s="3" t="str">
        <f t="shared" si="5"/>
        <v>Tersedia</v>
      </c>
      <c r="O82" s="2" t="s">
        <v>59</v>
      </c>
    </row>
    <row r="83" spans="1:15" x14ac:dyDescent="0.35">
      <c r="A83" s="5" t="s">
        <v>266</v>
      </c>
      <c r="B83" s="5" t="s">
        <v>55</v>
      </c>
      <c r="C83" s="5" t="s">
        <v>39</v>
      </c>
      <c r="D83" s="5" t="s">
        <v>40</v>
      </c>
      <c r="E83" s="5" t="s">
        <v>52</v>
      </c>
      <c r="F83" s="6" t="s">
        <v>267</v>
      </c>
      <c r="G83" s="6"/>
      <c r="H83" s="7">
        <v>10</v>
      </c>
      <c r="I83" s="7">
        <v>0</v>
      </c>
      <c r="J83" s="7">
        <f t="shared" si="3"/>
        <v>10</v>
      </c>
      <c r="K83" s="7">
        <v>1850000</v>
      </c>
      <c r="L83" s="7">
        <f t="shared" si="4"/>
        <v>18500000</v>
      </c>
      <c r="M83" s="5" t="s">
        <v>85</v>
      </c>
      <c r="N83" s="6" t="str">
        <f t="shared" si="5"/>
        <v>Tersedia</v>
      </c>
      <c r="O83" s="5" t="s">
        <v>31</v>
      </c>
    </row>
    <row r="84" spans="1:15" x14ac:dyDescent="0.35">
      <c r="A84" s="2" t="s">
        <v>268</v>
      </c>
      <c r="B84" s="2" t="s">
        <v>61</v>
      </c>
      <c r="C84" s="2" t="s">
        <v>62</v>
      </c>
      <c r="D84" s="2" t="s">
        <v>63</v>
      </c>
      <c r="E84" s="2" t="s">
        <v>56</v>
      </c>
      <c r="F84" s="3" t="s">
        <v>269</v>
      </c>
      <c r="G84" s="3"/>
      <c r="H84" s="4">
        <v>10</v>
      </c>
      <c r="I84" s="4">
        <v>0</v>
      </c>
      <c r="J84" s="4">
        <f t="shared" si="3"/>
        <v>10</v>
      </c>
      <c r="K84" s="4">
        <v>350000</v>
      </c>
      <c r="L84" s="4">
        <f t="shared" si="4"/>
        <v>3500000</v>
      </c>
      <c r="M84" s="2" t="s">
        <v>85</v>
      </c>
      <c r="N84" s="3" t="str">
        <f t="shared" si="5"/>
        <v>Tersedia</v>
      </c>
      <c r="O84" s="2" t="s">
        <v>36</v>
      </c>
    </row>
    <row r="85" spans="1:15" x14ac:dyDescent="0.35">
      <c r="A85" s="5" t="s">
        <v>270</v>
      </c>
      <c r="B85" s="5" t="s">
        <v>217</v>
      </c>
      <c r="C85" s="5" t="s">
        <v>26</v>
      </c>
      <c r="D85" s="5" t="s">
        <v>27</v>
      </c>
      <c r="E85" s="5" t="s">
        <v>19</v>
      </c>
      <c r="F85" s="6" t="s">
        <v>251</v>
      </c>
      <c r="G85" s="6" t="s">
        <v>156</v>
      </c>
      <c r="H85" s="7">
        <v>10</v>
      </c>
      <c r="I85" s="7">
        <v>5</v>
      </c>
      <c r="J85" s="7">
        <f t="shared" si="3"/>
        <v>5</v>
      </c>
      <c r="K85" s="7">
        <v>55000</v>
      </c>
      <c r="L85" s="7">
        <f t="shared" si="4"/>
        <v>275000</v>
      </c>
      <c r="M85" s="5" t="s">
        <v>30</v>
      </c>
      <c r="N85" s="6" t="str">
        <f t="shared" si="5"/>
        <v>Menipis</v>
      </c>
      <c r="O85" s="5" t="s">
        <v>76</v>
      </c>
    </row>
    <row r="86" spans="1:15" x14ac:dyDescent="0.35">
      <c r="A86" s="2" t="s">
        <v>91</v>
      </c>
      <c r="B86" s="2" t="s">
        <v>25</v>
      </c>
      <c r="C86" s="2" t="s">
        <v>26</v>
      </c>
      <c r="D86" s="2" t="s">
        <v>27</v>
      </c>
      <c r="E86" s="2" t="s">
        <v>68</v>
      </c>
      <c r="F86" s="3" t="s">
        <v>211</v>
      </c>
      <c r="G86" s="3" t="s">
        <v>271</v>
      </c>
      <c r="H86" s="4">
        <v>100</v>
      </c>
      <c r="I86" s="4">
        <v>68</v>
      </c>
      <c r="J86" s="4">
        <f t="shared" si="3"/>
        <v>32</v>
      </c>
      <c r="K86" s="4">
        <v>45000</v>
      </c>
      <c r="L86" s="4">
        <f t="shared" si="4"/>
        <v>1440000</v>
      </c>
      <c r="M86" s="2" t="s">
        <v>30</v>
      </c>
      <c r="N86" s="3" t="str">
        <f t="shared" si="5"/>
        <v>Tersedia</v>
      </c>
      <c r="O86" s="2" t="s">
        <v>23</v>
      </c>
    </row>
    <row r="87" spans="1:15" x14ac:dyDescent="0.35">
      <c r="A87" s="5" t="s">
        <v>272</v>
      </c>
      <c r="B87" s="5" t="s">
        <v>51</v>
      </c>
      <c r="C87" s="5" t="s">
        <v>17</v>
      </c>
      <c r="D87" s="5" t="s">
        <v>18</v>
      </c>
      <c r="E87" s="5" t="s">
        <v>96</v>
      </c>
      <c r="F87" s="6" t="s">
        <v>273</v>
      </c>
      <c r="G87" s="6" t="s">
        <v>274</v>
      </c>
      <c r="H87" s="7">
        <v>20</v>
      </c>
      <c r="I87" s="7">
        <v>11</v>
      </c>
      <c r="J87" s="7">
        <f t="shared" si="3"/>
        <v>9</v>
      </c>
      <c r="K87" s="7">
        <v>150000</v>
      </c>
      <c r="L87" s="7">
        <f t="shared" si="4"/>
        <v>1350000</v>
      </c>
      <c r="M87" s="5" t="s">
        <v>35</v>
      </c>
      <c r="N87" s="6" t="str">
        <f t="shared" si="5"/>
        <v>Tersedia</v>
      </c>
      <c r="O87" s="5" t="s">
        <v>31</v>
      </c>
    </row>
    <row r="88" spans="1:15" x14ac:dyDescent="0.35">
      <c r="A88" s="2" t="s">
        <v>275</v>
      </c>
      <c r="B88" s="2" t="s">
        <v>108</v>
      </c>
      <c r="C88" s="2" t="s">
        <v>62</v>
      </c>
      <c r="D88" s="2" t="s">
        <v>63</v>
      </c>
      <c r="E88" s="2" t="s">
        <v>101</v>
      </c>
      <c r="F88" s="3" t="s">
        <v>276</v>
      </c>
      <c r="G88" s="3" t="s">
        <v>248</v>
      </c>
      <c r="H88" s="4">
        <v>50</v>
      </c>
      <c r="I88" s="4">
        <v>21</v>
      </c>
      <c r="J88" s="4">
        <f t="shared" si="3"/>
        <v>29</v>
      </c>
      <c r="K88" s="4">
        <v>650000</v>
      </c>
      <c r="L88" s="4">
        <f t="shared" si="4"/>
        <v>18850000</v>
      </c>
      <c r="M88" s="2" t="s">
        <v>85</v>
      </c>
      <c r="N88" s="3" t="str">
        <f t="shared" si="5"/>
        <v>Tersedia</v>
      </c>
      <c r="O88" s="2" t="s">
        <v>31</v>
      </c>
    </row>
    <row r="89" spans="1:15" x14ac:dyDescent="0.35">
      <c r="A89" s="5" t="s">
        <v>277</v>
      </c>
      <c r="B89" s="5" t="s">
        <v>117</v>
      </c>
      <c r="C89" s="5" t="s">
        <v>81</v>
      </c>
      <c r="D89" s="5" t="s">
        <v>82</v>
      </c>
      <c r="E89" s="5" t="s">
        <v>101</v>
      </c>
      <c r="F89" s="6" t="s">
        <v>207</v>
      </c>
      <c r="G89" s="6"/>
      <c r="H89" s="7">
        <v>150</v>
      </c>
      <c r="I89" s="7">
        <v>0</v>
      </c>
      <c r="J89" s="7">
        <f t="shared" si="3"/>
        <v>150</v>
      </c>
      <c r="K89" s="7">
        <v>310000</v>
      </c>
      <c r="L89" s="7">
        <f t="shared" si="4"/>
        <v>46500000</v>
      </c>
      <c r="M89" s="5" t="s">
        <v>22</v>
      </c>
      <c r="N89" s="6" t="str">
        <f t="shared" si="5"/>
        <v>Tersedia</v>
      </c>
      <c r="O89" s="5" t="s">
        <v>59</v>
      </c>
    </row>
    <row r="90" spans="1:15" x14ac:dyDescent="0.35">
      <c r="A90" s="2" t="s">
        <v>278</v>
      </c>
      <c r="B90" s="2" t="s">
        <v>61</v>
      </c>
      <c r="C90" s="2" t="s">
        <v>62</v>
      </c>
      <c r="D90" s="2" t="s">
        <v>63</v>
      </c>
      <c r="E90" s="2" t="s">
        <v>47</v>
      </c>
      <c r="F90" s="3" t="s">
        <v>279</v>
      </c>
      <c r="G90" s="3" t="s">
        <v>280</v>
      </c>
      <c r="H90" s="4">
        <v>50</v>
      </c>
      <c r="I90" s="4">
        <v>44</v>
      </c>
      <c r="J90" s="4">
        <f t="shared" si="3"/>
        <v>6</v>
      </c>
      <c r="K90" s="4">
        <v>350000</v>
      </c>
      <c r="L90" s="4">
        <f t="shared" si="4"/>
        <v>2100000</v>
      </c>
      <c r="M90" s="2" t="s">
        <v>35</v>
      </c>
      <c r="N90" s="3" t="str">
        <f t="shared" si="5"/>
        <v>Tersedia</v>
      </c>
      <c r="O90" s="2" t="s">
        <v>36</v>
      </c>
    </row>
    <row r="91" spans="1:15" x14ac:dyDescent="0.35">
      <c r="A91" s="5" t="s">
        <v>281</v>
      </c>
      <c r="B91" s="5" t="s">
        <v>72</v>
      </c>
      <c r="C91" s="5" t="s">
        <v>73</v>
      </c>
      <c r="D91" s="5" t="s">
        <v>74</v>
      </c>
      <c r="E91" s="5" t="s">
        <v>151</v>
      </c>
      <c r="F91" s="6" t="s">
        <v>148</v>
      </c>
      <c r="G91" s="6"/>
      <c r="H91" s="7">
        <v>150</v>
      </c>
      <c r="I91" s="7">
        <v>0</v>
      </c>
      <c r="J91" s="7">
        <f t="shared" si="3"/>
        <v>150</v>
      </c>
      <c r="K91" s="7">
        <v>240000</v>
      </c>
      <c r="L91" s="7">
        <f t="shared" si="4"/>
        <v>36000000</v>
      </c>
      <c r="M91" s="5" t="s">
        <v>85</v>
      </c>
      <c r="N91" s="6" t="str">
        <f t="shared" si="5"/>
        <v>Tersedia</v>
      </c>
      <c r="O91" s="5" t="s">
        <v>70</v>
      </c>
    </row>
    <row r="92" spans="1:15" x14ac:dyDescent="0.35">
      <c r="A92" s="2" t="s">
        <v>282</v>
      </c>
      <c r="B92" s="2" t="s">
        <v>51</v>
      </c>
      <c r="C92" s="2" t="s">
        <v>17</v>
      </c>
      <c r="D92" s="2" t="s">
        <v>18</v>
      </c>
      <c r="E92" s="2" t="s">
        <v>19</v>
      </c>
      <c r="F92" s="3" t="s">
        <v>283</v>
      </c>
      <c r="G92" s="3"/>
      <c r="H92" s="4">
        <v>10</v>
      </c>
      <c r="I92" s="4">
        <v>0</v>
      </c>
      <c r="J92" s="4">
        <f t="shared" si="3"/>
        <v>10</v>
      </c>
      <c r="K92" s="4">
        <v>150000</v>
      </c>
      <c r="L92" s="4">
        <f t="shared" si="4"/>
        <v>1500000</v>
      </c>
      <c r="M92" s="2" t="s">
        <v>35</v>
      </c>
      <c r="N92" s="3" t="str">
        <f t="shared" si="5"/>
        <v>Tersedia</v>
      </c>
      <c r="O92" s="2" t="s">
        <v>31</v>
      </c>
    </row>
    <row r="93" spans="1:15" x14ac:dyDescent="0.35">
      <c r="A93" s="5" t="s">
        <v>284</v>
      </c>
      <c r="B93" s="5" t="s">
        <v>144</v>
      </c>
      <c r="C93" s="5" t="s">
        <v>39</v>
      </c>
      <c r="D93" s="5" t="s">
        <v>40</v>
      </c>
      <c r="E93" s="5" t="s">
        <v>56</v>
      </c>
      <c r="F93" s="6" t="s">
        <v>285</v>
      </c>
      <c r="G93" s="6" t="s">
        <v>286</v>
      </c>
      <c r="H93" s="7">
        <v>2</v>
      </c>
      <c r="I93" s="7">
        <v>2</v>
      </c>
      <c r="J93" s="7">
        <f t="shared" si="3"/>
        <v>0</v>
      </c>
      <c r="K93" s="7">
        <v>2450000</v>
      </c>
      <c r="L93" s="7">
        <f t="shared" si="4"/>
        <v>0</v>
      </c>
      <c r="M93" s="5" t="s">
        <v>43</v>
      </c>
      <c r="N93" s="6" t="str">
        <f t="shared" si="5"/>
        <v>Habis</v>
      </c>
      <c r="O93" s="5" t="s">
        <v>44</v>
      </c>
    </row>
    <row r="94" spans="1:15" x14ac:dyDescent="0.35">
      <c r="A94" s="2" t="s">
        <v>281</v>
      </c>
      <c r="B94" s="2" t="s">
        <v>206</v>
      </c>
      <c r="C94" s="2" t="s">
        <v>73</v>
      </c>
      <c r="D94" s="2" t="s">
        <v>74</v>
      </c>
      <c r="E94" s="2" t="s">
        <v>68</v>
      </c>
      <c r="F94" s="3" t="s">
        <v>287</v>
      </c>
      <c r="G94" s="3" t="s">
        <v>125</v>
      </c>
      <c r="H94" s="4">
        <v>150</v>
      </c>
      <c r="I94" s="4">
        <v>96</v>
      </c>
      <c r="J94" s="4">
        <f t="shared" si="3"/>
        <v>54</v>
      </c>
      <c r="K94" s="4">
        <v>45000</v>
      </c>
      <c r="L94" s="4">
        <f t="shared" si="4"/>
        <v>2430000</v>
      </c>
      <c r="M94" s="2" t="s">
        <v>35</v>
      </c>
      <c r="N94" s="3" t="str">
        <f t="shared" si="5"/>
        <v>Tersedia</v>
      </c>
      <c r="O94" s="2" t="s">
        <v>36</v>
      </c>
    </row>
    <row r="95" spans="1:15" x14ac:dyDescent="0.35">
      <c r="A95" s="5" t="s">
        <v>288</v>
      </c>
      <c r="B95" s="5" t="s">
        <v>117</v>
      </c>
      <c r="C95" s="5" t="s">
        <v>81</v>
      </c>
      <c r="D95" s="5" t="s">
        <v>82</v>
      </c>
      <c r="E95" s="5" t="s">
        <v>68</v>
      </c>
      <c r="F95" s="6" t="s">
        <v>163</v>
      </c>
      <c r="G95" s="6" t="s">
        <v>289</v>
      </c>
      <c r="H95" s="7">
        <v>50</v>
      </c>
      <c r="I95" s="7">
        <v>38</v>
      </c>
      <c r="J95" s="7">
        <f t="shared" si="3"/>
        <v>12</v>
      </c>
      <c r="K95" s="7">
        <v>310000</v>
      </c>
      <c r="L95" s="7">
        <f t="shared" si="4"/>
        <v>3720000</v>
      </c>
      <c r="M95" s="5" t="s">
        <v>30</v>
      </c>
      <c r="N95" s="6" t="str">
        <f t="shared" si="5"/>
        <v>Tersedia</v>
      </c>
      <c r="O95" s="5" t="s">
        <v>76</v>
      </c>
    </row>
    <row r="96" spans="1:15" x14ac:dyDescent="0.35">
      <c r="A96" s="2" t="s">
        <v>290</v>
      </c>
      <c r="B96" s="2" t="s">
        <v>80</v>
      </c>
      <c r="C96" s="2" t="s">
        <v>81</v>
      </c>
      <c r="D96" s="2" t="s">
        <v>82</v>
      </c>
      <c r="E96" s="2" t="s">
        <v>34</v>
      </c>
      <c r="F96" s="3" t="s">
        <v>291</v>
      </c>
      <c r="G96" s="3" t="s">
        <v>292</v>
      </c>
      <c r="H96" s="4">
        <v>10</v>
      </c>
      <c r="I96" s="4">
        <v>2</v>
      </c>
      <c r="J96" s="4">
        <f t="shared" si="3"/>
        <v>8</v>
      </c>
      <c r="K96" s="4">
        <v>280000</v>
      </c>
      <c r="L96" s="4">
        <f t="shared" si="4"/>
        <v>2240000</v>
      </c>
      <c r="M96" s="2" t="s">
        <v>35</v>
      </c>
      <c r="N96" s="3" t="str">
        <f t="shared" si="5"/>
        <v>Tersedia</v>
      </c>
      <c r="O96" s="2" t="s">
        <v>36</v>
      </c>
    </row>
    <row r="97" spans="1:15" x14ac:dyDescent="0.35">
      <c r="A97" s="5" t="s">
        <v>270</v>
      </c>
      <c r="B97" s="5" t="s">
        <v>127</v>
      </c>
      <c r="C97" s="5" t="s">
        <v>39</v>
      </c>
      <c r="D97" s="5" t="s">
        <v>40</v>
      </c>
      <c r="E97" s="5" t="s">
        <v>52</v>
      </c>
      <c r="F97" s="6" t="s">
        <v>293</v>
      </c>
      <c r="G97" s="6" t="s">
        <v>294</v>
      </c>
      <c r="H97" s="7">
        <v>5</v>
      </c>
      <c r="I97" s="7">
        <v>3</v>
      </c>
      <c r="J97" s="7">
        <f t="shared" si="3"/>
        <v>2</v>
      </c>
      <c r="K97" s="7">
        <v>1550000</v>
      </c>
      <c r="L97" s="7">
        <f t="shared" si="4"/>
        <v>3100000</v>
      </c>
      <c r="M97" s="5" t="s">
        <v>30</v>
      </c>
      <c r="N97" s="6" t="str">
        <f t="shared" si="5"/>
        <v>Menipis</v>
      </c>
      <c r="O97" s="5" t="s">
        <v>70</v>
      </c>
    </row>
    <row r="98" spans="1:15" x14ac:dyDescent="0.35">
      <c r="A98" s="2" t="s">
        <v>295</v>
      </c>
      <c r="B98" s="2" t="s">
        <v>33</v>
      </c>
      <c r="C98" s="2" t="s">
        <v>26</v>
      </c>
      <c r="D98" s="2" t="s">
        <v>27</v>
      </c>
      <c r="E98" s="2" t="s">
        <v>56</v>
      </c>
      <c r="F98" s="3" t="s">
        <v>296</v>
      </c>
      <c r="G98" s="3" t="s">
        <v>297</v>
      </c>
      <c r="H98" s="4">
        <v>50</v>
      </c>
      <c r="I98" s="4">
        <v>13</v>
      </c>
      <c r="J98" s="4">
        <f t="shared" si="3"/>
        <v>37</v>
      </c>
      <c r="K98" s="4">
        <v>12000</v>
      </c>
      <c r="L98" s="4">
        <f t="shared" si="4"/>
        <v>444000</v>
      </c>
      <c r="M98" s="2" t="s">
        <v>35</v>
      </c>
      <c r="N98" s="3" t="str">
        <f t="shared" si="5"/>
        <v>Tersedia</v>
      </c>
      <c r="O98" s="2" t="s">
        <v>70</v>
      </c>
    </row>
    <row r="99" spans="1:15" x14ac:dyDescent="0.35">
      <c r="A99" s="5" t="s">
        <v>298</v>
      </c>
      <c r="B99" s="5" t="s">
        <v>138</v>
      </c>
      <c r="C99" s="5" t="s">
        <v>62</v>
      </c>
      <c r="D99" s="5" t="s">
        <v>63</v>
      </c>
      <c r="E99" s="5" t="s">
        <v>19</v>
      </c>
      <c r="F99" s="6" t="s">
        <v>299</v>
      </c>
      <c r="G99" s="6" t="s">
        <v>300</v>
      </c>
      <c r="H99" s="7">
        <v>50</v>
      </c>
      <c r="I99" s="7">
        <v>34</v>
      </c>
      <c r="J99" s="7">
        <f t="shared" si="3"/>
        <v>16</v>
      </c>
      <c r="K99" s="7">
        <v>450000</v>
      </c>
      <c r="L99" s="7">
        <f t="shared" si="4"/>
        <v>7200000</v>
      </c>
      <c r="M99" s="5" t="s">
        <v>30</v>
      </c>
      <c r="N99" s="6" t="str">
        <f t="shared" si="5"/>
        <v>Tersedia</v>
      </c>
      <c r="O99" s="5" t="s">
        <v>70</v>
      </c>
    </row>
    <row r="100" spans="1:15" x14ac:dyDescent="0.35">
      <c r="A100" s="2" t="s">
        <v>301</v>
      </c>
      <c r="B100" s="2" t="s">
        <v>95</v>
      </c>
      <c r="C100" s="2" t="s">
        <v>62</v>
      </c>
      <c r="D100" s="2" t="s">
        <v>63</v>
      </c>
      <c r="E100" s="2" t="s">
        <v>101</v>
      </c>
      <c r="F100" s="3" t="s">
        <v>215</v>
      </c>
      <c r="G100" s="3"/>
      <c r="H100" s="4">
        <v>20</v>
      </c>
      <c r="I100" s="4">
        <v>0</v>
      </c>
      <c r="J100" s="4">
        <f t="shared" si="3"/>
        <v>20</v>
      </c>
      <c r="K100" s="4">
        <v>850000</v>
      </c>
      <c r="L100" s="4">
        <f t="shared" si="4"/>
        <v>17000000</v>
      </c>
      <c r="M100" s="2" t="s">
        <v>30</v>
      </c>
      <c r="N100" s="3" t="str">
        <f t="shared" si="5"/>
        <v>Tersedia</v>
      </c>
      <c r="O100" s="2" t="s">
        <v>86</v>
      </c>
    </row>
    <row r="101" spans="1:15" x14ac:dyDescent="0.35">
      <c r="A101" s="5" t="s">
        <v>302</v>
      </c>
      <c r="B101" s="5" t="s">
        <v>120</v>
      </c>
      <c r="C101" s="5" t="s">
        <v>73</v>
      </c>
      <c r="D101" s="5" t="s">
        <v>74</v>
      </c>
      <c r="E101" s="5" t="s">
        <v>34</v>
      </c>
      <c r="F101" s="6" t="s">
        <v>131</v>
      </c>
      <c r="G101" s="6" t="s">
        <v>49</v>
      </c>
      <c r="H101" s="7">
        <v>200</v>
      </c>
      <c r="I101" s="7">
        <v>5</v>
      </c>
      <c r="J101" s="7">
        <f t="shared" si="3"/>
        <v>195</v>
      </c>
      <c r="K101" s="7">
        <v>75000</v>
      </c>
      <c r="L101" s="7">
        <f t="shared" si="4"/>
        <v>14625000</v>
      </c>
      <c r="M101" s="5" t="s">
        <v>85</v>
      </c>
      <c r="N101" s="6" t="str">
        <f t="shared" si="5"/>
        <v>Tersedia</v>
      </c>
      <c r="O101" s="5" t="s">
        <v>36</v>
      </c>
    </row>
    <row r="102" spans="1:15" x14ac:dyDescent="0.35">
      <c r="A102" s="2" t="s">
        <v>232</v>
      </c>
      <c r="B102" s="2" t="s">
        <v>114</v>
      </c>
      <c r="C102" s="2" t="s">
        <v>17</v>
      </c>
      <c r="D102" s="2" t="s">
        <v>18</v>
      </c>
      <c r="E102" s="2" t="s">
        <v>101</v>
      </c>
      <c r="F102" s="3" t="s">
        <v>146</v>
      </c>
      <c r="G102" s="3" t="s">
        <v>274</v>
      </c>
      <c r="H102" s="4">
        <v>150</v>
      </c>
      <c r="I102" s="4">
        <v>124</v>
      </c>
      <c r="J102" s="4">
        <f t="shared" si="3"/>
        <v>26</v>
      </c>
      <c r="K102" s="4">
        <v>85000</v>
      </c>
      <c r="L102" s="4">
        <f t="shared" si="4"/>
        <v>2210000</v>
      </c>
      <c r="M102" s="2" t="s">
        <v>22</v>
      </c>
      <c r="N102" s="3" t="str">
        <f t="shared" si="5"/>
        <v>Tersedia</v>
      </c>
      <c r="O102" s="2" t="s">
        <v>36</v>
      </c>
    </row>
    <row r="103" spans="1:15" x14ac:dyDescent="0.35">
      <c r="A103" s="5" t="s">
        <v>216</v>
      </c>
      <c r="B103" s="5" t="s">
        <v>46</v>
      </c>
      <c r="C103" s="5" t="s">
        <v>26</v>
      </c>
      <c r="D103" s="5" t="s">
        <v>27</v>
      </c>
      <c r="E103" s="5" t="s">
        <v>64</v>
      </c>
      <c r="F103" s="6" t="s">
        <v>303</v>
      </c>
      <c r="G103" s="6" t="s">
        <v>90</v>
      </c>
      <c r="H103" s="7">
        <v>10</v>
      </c>
      <c r="I103" s="7">
        <v>1</v>
      </c>
      <c r="J103" s="7">
        <f t="shared" si="3"/>
        <v>9</v>
      </c>
      <c r="K103" s="7">
        <v>35000</v>
      </c>
      <c r="L103" s="7">
        <f t="shared" si="4"/>
        <v>315000</v>
      </c>
      <c r="M103" s="5" t="s">
        <v>85</v>
      </c>
      <c r="N103" s="6" t="str">
        <f t="shared" si="5"/>
        <v>Tersedia</v>
      </c>
      <c r="O103" s="5" t="s">
        <v>31</v>
      </c>
    </row>
    <row r="104" spans="1:15" x14ac:dyDescent="0.35">
      <c r="A104" s="2" t="s">
        <v>304</v>
      </c>
      <c r="B104" s="2" t="s">
        <v>25</v>
      </c>
      <c r="C104" s="2" t="s">
        <v>26</v>
      </c>
      <c r="D104" s="2" t="s">
        <v>27</v>
      </c>
      <c r="E104" s="2" t="s">
        <v>64</v>
      </c>
      <c r="F104" s="3" t="s">
        <v>305</v>
      </c>
      <c r="G104" s="3" t="s">
        <v>276</v>
      </c>
      <c r="H104" s="4">
        <v>100</v>
      </c>
      <c r="I104" s="4">
        <v>8</v>
      </c>
      <c r="J104" s="4">
        <f t="shared" si="3"/>
        <v>92</v>
      </c>
      <c r="K104" s="4">
        <v>45000</v>
      </c>
      <c r="L104" s="4">
        <f t="shared" si="4"/>
        <v>4140000</v>
      </c>
      <c r="M104" s="2" t="s">
        <v>22</v>
      </c>
      <c r="N104" s="3" t="str">
        <f t="shared" si="5"/>
        <v>Tersedia</v>
      </c>
      <c r="O104" s="2" t="s">
        <v>86</v>
      </c>
    </row>
    <row r="105" spans="1:15" x14ac:dyDescent="0.35">
      <c r="A105" s="5" t="s">
        <v>306</v>
      </c>
      <c r="B105" s="5" t="s">
        <v>100</v>
      </c>
      <c r="C105" s="5" t="s">
        <v>81</v>
      </c>
      <c r="D105" s="5" t="s">
        <v>82</v>
      </c>
      <c r="E105" s="5" t="s">
        <v>151</v>
      </c>
      <c r="F105" s="6" t="s">
        <v>307</v>
      </c>
      <c r="G105" s="6" t="s">
        <v>269</v>
      </c>
      <c r="H105" s="7">
        <v>150</v>
      </c>
      <c r="I105" s="7">
        <v>90</v>
      </c>
      <c r="J105" s="7">
        <f t="shared" si="3"/>
        <v>60</v>
      </c>
      <c r="K105" s="7">
        <v>220000</v>
      </c>
      <c r="L105" s="7">
        <f t="shared" si="4"/>
        <v>13200000</v>
      </c>
      <c r="M105" s="5" t="s">
        <v>22</v>
      </c>
      <c r="N105" s="6" t="str">
        <f t="shared" si="5"/>
        <v>Tersedia</v>
      </c>
      <c r="O105" s="5" t="s">
        <v>44</v>
      </c>
    </row>
    <row r="106" spans="1:15" x14ac:dyDescent="0.35">
      <c r="A106" s="2" t="s">
        <v>24</v>
      </c>
      <c r="B106" s="2" t="s">
        <v>67</v>
      </c>
      <c r="C106" s="2" t="s">
        <v>39</v>
      </c>
      <c r="D106" s="2" t="s">
        <v>40</v>
      </c>
      <c r="E106" s="2" t="s">
        <v>96</v>
      </c>
      <c r="F106" s="3" t="s">
        <v>308</v>
      </c>
      <c r="G106" s="3"/>
      <c r="H106" s="4">
        <v>5</v>
      </c>
      <c r="I106" s="4">
        <v>0</v>
      </c>
      <c r="J106" s="4">
        <f t="shared" si="3"/>
        <v>5</v>
      </c>
      <c r="K106" s="4">
        <v>3800000</v>
      </c>
      <c r="L106" s="4">
        <f t="shared" si="4"/>
        <v>19000000</v>
      </c>
      <c r="M106" s="2" t="s">
        <v>43</v>
      </c>
      <c r="N106" s="3" t="str">
        <f t="shared" si="5"/>
        <v>Menipis</v>
      </c>
      <c r="O106" s="2" t="s">
        <v>76</v>
      </c>
    </row>
    <row r="107" spans="1:15" x14ac:dyDescent="0.35">
      <c r="A107" s="5" t="s">
        <v>309</v>
      </c>
      <c r="B107" s="5" t="s">
        <v>72</v>
      </c>
      <c r="C107" s="5" t="s">
        <v>73</v>
      </c>
      <c r="D107" s="5" t="s">
        <v>74</v>
      </c>
      <c r="E107" s="5" t="s">
        <v>19</v>
      </c>
      <c r="F107" s="6" t="s">
        <v>310</v>
      </c>
      <c r="G107" s="6"/>
      <c r="H107" s="7">
        <v>50</v>
      </c>
      <c r="I107" s="7">
        <v>0</v>
      </c>
      <c r="J107" s="7">
        <f t="shared" si="3"/>
        <v>50</v>
      </c>
      <c r="K107" s="7">
        <v>240000</v>
      </c>
      <c r="L107" s="7">
        <f t="shared" si="4"/>
        <v>12000000</v>
      </c>
      <c r="M107" s="5" t="s">
        <v>30</v>
      </c>
      <c r="N107" s="6" t="str">
        <f t="shared" si="5"/>
        <v>Tersedia</v>
      </c>
      <c r="O107" s="5" t="s">
        <v>86</v>
      </c>
    </row>
    <row r="108" spans="1:15" x14ac:dyDescent="0.35">
      <c r="A108" s="2" t="s">
        <v>311</v>
      </c>
      <c r="B108" s="2" t="s">
        <v>184</v>
      </c>
      <c r="C108" s="2" t="s">
        <v>62</v>
      </c>
      <c r="D108" s="2" t="s">
        <v>63</v>
      </c>
      <c r="E108" s="2" t="s">
        <v>68</v>
      </c>
      <c r="F108" s="3" t="s">
        <v>312</v>
      </c>
      <c r="G108" s="3" t="s">
        <v>313</v>
      </c>
      <c r="H108" s="4">
        <v>200</v>
      </c>
      <c r="I108" s="4">
        <v>167</v>
      </c>
      <c r="J108" s="4">
        <f t="shared" si="3"/>
        <v>33</v>
      </c>
      <c r="K108" s="4">
        <v>1250000</v>
      </c>
      <c r="L108" s="4">
        <f t="shared" si="4"/>
        <v>41250000</v>
      </c>
      <c r="M108" s="2" t="s">
        <v>30</v>
      </c>
      <c r="N108" s="3" t="str">
        <f t="shared" si="5"/>
        <v>Tersedia</v>
      </c>
      <c r="O108" s="2" t="s">
        <v>36</v>
      </c>
    </row>
    <row r="109" spans="1:15" x14ac:dyDescent="0.35">
      <c r="A109" s="5" t="s">
        <v>314</v>
      </c>
      <c r="B109" s="5" t="s">
        <v>158</v>
      </c>
      <c r="C109" s="5" t="s">
        <v>26</v>
      </c>
      <c r="D109" s="5" t="s">
        <v>27</v>
      </c>
      <c r="E109" s="5" t="s">
        <v>64</v>
      </c>
      <c r="F109" s="6" t="s">
        <v>315</v>
      </c>
      <c r="G109" s="6" t="s">
        <v>316</v>
      </c>
      <c r="H109" s="7">
        <v>50</v>
      </c>
      <c r="I109" s="7">
        <v>3</v>
      </c>
      <c r="J109" s="7">
        <f t="shared" si="3"/>
        <v>47</v>
      </c>
      <c r="K109" s="7">
        <v>65000</v>
      </c>
      <c r="L109" s="7">
        <f t="shared" si="4"/>
        <v>3055000</v>
      </c>
      <c r="M109" s="5" t="s">
        <v>30</v>
      </c>
      <c r="N109" s="6" t="str">
        <f t="shared" si="5"/>
        <v>Tersedia</v>
      </c>
      <c r="O109" s="5" t="s">
        <v>36</v>
      </c>
    </row>
    <row r="110" spans="1:15" x14ac:dyDescent="0.35">
      <c r="A110" s="2" t="s">
        <v>176</v>
      </c>
      <c r="B110" s="2" t="s">
        <v>38</v>
      </c>
      <c r="C110" s="2" t="s">
        <v>39</v>
      </c>
      <c r="D110" s="2" t="s">
        <v>40</v>
      </c>
      <c r="E110" s="2" t="s">
        <v>96</v>
      </c>
      <c r="F110" s="3" t="s">
        <v>317</v>
      </c>
      <c r="G110" s="3" t="s">
        <v>264</v>
      </c>
      <c r="H110" s="4">
        <v>2</v>
      </c>
      <c r="I110" s="4">
        <v>1</v>
      </c>
      <c r="J110" s="4">
        <f t="shared" si="3"/>
        <v>1</v>
      </c>
      <c r="K110" s="4">
        <v>4500000</v>
      </c>
      <c r="L110" s="4">
        <f t="shared" si="4"/>
        <v>4500000</v>
      </c>
      <c r="M110" s="2" t="s">
        <v>43</v>
      </c>
      <c r="N110" s="3" t="str">
        <f t="shared" si="5"/>
        <v>Menipis</v>
      </c>
      <c r="O110" s="2" t="s">
        <v>86</v>
      </c>
    </row>
    <row r="111" spans="1:15" x14ac:dyDescent="0.35">
      <c r="A111" s="5" t="s">
        <v>318</v>
      </c>
      <c r="B111" s="5" t="s">
        <v>33</v>
      </c>
      <c r="C111" s="5" t="s">
        <v>26</v>
      </c>
      <c r="D111" s="5" t="s">
        <v>27</v>
      </c>
      <c r="E111" s="5" t="s">
        <v>34</v>
      </c>
      <c r="F111" s="6" t="s">
        <v>172</v>
      </c>
      <c r="G111" s="6"/>
      <c r="H111" s="7">
        <v>10</v>
      </c>
      <c r="I111" s="7">
        <v>0</v>
      </c>
      <c r="J111" s="7">
        <f t="shared" si="3"/>
        <v>10</v>
      </c>
      <c r="K111" s="7">
        <v>12000</v>
      </c>
      <c r="L111" s="7">
        <f t="shared" si="4"/>
        <v>120000</v>
      </c>
      <c r="M111" s="5" t="s">
        <v>35</v>
      </c>
      <c r="N111" s="6" t="str">
        <f t="shared" si="5"/>
        <v>Tersedia</v>
      </c>
      <c r="O111" s="5" t="s">
        <v>31</v>
      </c>
    </row>
    <row r="112" spans="1:15" x14ac:dyDescent="0.35">
      <c r="A112" s="2" t="s">
        <v>319</v>
      </c>
      <c r="B112" s="2" t="s">
        <v>165</v>
      </c>
      <c r="C112" s="2" t="s">
        <v>17</v>
      </c>
      <c r="D112" s="2" t="s">
        <v>18</v>
      </c>
      <c r="E112" s="2" t="s">
        <v>47</v>
      </c>
      <c r="F112" s="3" t="s">
        <v>320</v>
      </c>
      <c r="G112" s="3"/>
      <c r="H112" s="4">
        <v>100</v>
      </c>
      <c r="I112" s="4">
        <v>0</v>
      </c>
      <c r="J112" s="4">
        <f t="shared" si="3"/>
        <v>100</v>
      </c>
      <c r="K112" s="4">
        <v>35000</v>
      </c>
      <c r="L112" s="4">
        <f t="shared" si="4"/>
        <v>3500000</v>
      </c>
      <c r="M112" s="2" t="s">
        <v>22</v>
      </c>
      <c r="N112" s="3" t="str">
        <f t="shared" si="5"/>
        <v>Tersedia</v>
      </c>
      <c r="O112" s="2" t="s">
        <v>70</v>
      </c>
    </row>
    <row r="113" spans="1:15" x14ac:dyDescent="0.35">
      <c r="A113" s="5" t="s">
        <v>321</v>
      </c>
      <c r="B113" s="5" t="s">
        <v>67</v>
      </c>
      <c r="C113" s="5" t="s">
        <v>39</v>
      </c>
      <c r="D113" s="5" t="s">
        <v>40</v>
      </c>
      <c r="E113" s="5" t="s">
        <v>151</v>
      </c>
      <c r="F113" s="6" t="s">
        <v>225</v>
      </c>
      <c r="G113" s="6" t="s">
        <v>322</v>
      </c>
      <c r="H113" s="7">
        <v>2</v>
      </c>
      <c r="I113" s="7">
        <v>2</v>
      </c>
      <c r="J113" s="7">
        <f t="shared" si="3"/>
        <v>0</v>
      </c>
      <c r="K113" s="7">
        <v>3800000</v>
      </c>
      <c r="L113" s="7">
        <f t="shared" si="4"/>
        <v>0</v>
      </c>
      <c r="M113" s="5" t="s">
        <v>30</v>
      </c>
      <c r="N113" s="6" t="str">
        <f t="shared" si="5"/>
        <v>Habis</v>
      </c>
      <c r="O113" s="5" t="s">
        <v>86</v>
      </c>
    </row>
    <row r="114" spans="1:15" x14ac:dyDescent="0.35">
      <c r="A114" s="2" t="s">
        <v>323</v>
      </c>
      <c r="B114" s="2" t="s">
        <v>33</v>
      </c>
      <c r="C114" s="2" t="s">
        <v>26</v>
      </c>
      <c r="D114" s="2" t="s">
        <v>27</v>
      </c>
      <c r="E114" s="2" t="s">
        <v>101</v>
      </c>
      <c r="F114" s="3" t="s">
        <v>148</v>
      </c>
      <c r="G114" s="3" t="s">
        <v>145</v>
      </c>
      <c r="H114" s="4">
        <v>10</v>
      </c>
      <c r="I114" s="4">
        <v>9</v>
      </c>
      <c r="J114" s="4">
        <f t="shared" si="3"/>
        <v>1</v>
      </c>
      <c r="K114" s="4">
        <v>12000</v>
      </c>
      <c r="L114" s="4">
        <f t="shared" si="4"/>
        <v>12000</v>
      </c>
      <c r="M114" s="2" t="s">
        <v>35</v>
      </c>
      <c r="N114" s="3" t="str">
        <f t="shared" si="5"/>
        <v>Menipis</v>
      </c>
      <c r="O114" s="2" t="s">
        <v>44</v>
      </c>
    </row>
    <row r="115" spans="1:15" x14ac:dyDescent="0.35">
      <c r="A115" s="5" t="s">
        <v>324</v>
      </c>
      <c r="B115" s="5" t="s">
        <v>88</v>
      </c>
      <c r="C115" s="5" t="s">
        <v>73</v>
      </c>
      <c r="D115" s="5" t="s">
        <v>74</v>
      </c>
      <c r="E115" s="5" t="s">
        <v>68</v>
      </c>
      <c r="F115" s="6" t="s">
        <v>235</v>
      </c>
      <c r="G115" s="6" t="s">
        <v>325</v>
      </c>
      <c r="H115" s="7">
        <v>50</v>
      </c>
      <c r="I115" s="7">
        <v>43</v>
      </c>
      <c r="J115" s="7">
        <f t="shared" si="3"/>
        <v>7</v>
      </c>
      <c r="K115" s="7">
        <v>650000</v>
      </c>
      <c r="L115" s="7">
        <f t="shared" si="4"/>
        <v>4550000</v>
      </c>
      <c r="M115" s="5" t="s">
        <v>85</v>
      </c>
      <c r="N115" s="6" t="str">
        <f t="shared" si="5"/>
        <v>Tersedia</v>
      </c>
      <c r="O115" s="5" t="s">
        <v>36</v>
      </c>
    </row>
    <row r="116" spans="1:15" x14ac:dyDescent="0.35">
      <c r="A116" s="2" t="s">
        <v>32</v>
      </c>
      <c r="B116" s="2" t="s">
        <v>67</v>
      </c>
      <c r="C116" s="2" t="s">
        <v>39</v>
      </c>
      <c r="D116" s="2" t="s">
        <v>40</v>
      </c>
      <c r="E116" s="2" t="s">
        <v>47</v>
      </c>
      <c r="F116" s="3" t="s">
        <v>326</v>
      </c>
      <c r="G116" s="3"/>
      <c r="H116" s="4">
        <v>2</v>
      </c>
      <c r="I116" s="4">
        <v>0</v>
      </c>
      <c r="J116" s="4">
        <f t="shared" si="3"/>
        <v>2</v>
      </c>
      <c r="K116" s="4">
        <v>3800000</v>
      </c>
      <c r="L116" s="4">
        <f t="shared" si="4"/>
        <v>7600000</v>
      </c>
      <c r="M116" s="2" t="s">
        <v>43</v>
      </c>
      <c r="N116" s="3" t="str">
        <f t="shared" si="5"/>
        <v>Menipis</v>
      </c>
      <c r="O116" s="2" t="s">
        <v>86</v>
      </c>
    </row>
    <row r="117" spans="1:15" x14ac:dyDescent="0.35">
      <c r="A117" s="5" t="s">
        <v>327</v>
      </c>
      <c r="B117" s="5" t="s">
        <v>51</v>
      </c>
      <c r="C117" s="5" t="s">
        <v>17</v>
      </c>
      <c r="D117" s="5" t="s">
        <v>18</v>
      </c>
      <c r="E117" s="5" t="s">
        <v>101</v>
      </c>
      <c r="F117" s="6" t="s">
        <v>328</v>
      </c>
      <c r="G117" s="6" t="s">
        <v>329</v>
      </c>
      <c r="H117" s="7">
        <v>10</v>
      </c>
      <c r="I117" s="7">
        <v>4</v>
      </c>
      <c r="J117" s="7">
        <f t="shared" si="3"/>
        <v>6</v>
      </c>
      <c r="K117" s="7">
        <v>150000</v>
      </c>
      <c r="L117" s="7">
        <f t="shared" si="4"/>
        <v>900000</v>
      </c>
      <c r="M117" s="5" t="s">
        <v>85</v>
      </c>
      <c r="N117" s="6" t="str">
        <f t="shared" si="5"/>
        <v>Tersedia</v>
      </c>
      <c r="O117" s="5" t="s">
        <v>44</v>
      </c>
    </row>
    <row r="118" spans="1:15" x14ac:dyDescent="0.35">
      <c r="A118" s="2" t="s">
        <v>330</v>
      </c>
      <c r="B118" s="2" t="s">
        <v>72</v>
      </c>
      <c r="C118" s="2" t="s">
        <v>73</v>
      </c>
      <c r="D118" s="2" t="s">
        <v>74</v>
      </c>
      <c r="E118" s="2" t="s">
        <v>151</v>
      </c>
      <c r="F118" s="3" t="s">
        <v>331</v>
      </c>
      <c r="G118" s="3" t="s">
        <v>231</v>
      </c>
      <c r="H118" s="4">
        <v>10</v>
      </c>
      <c r="I118" s="4">
        <v>10</v>
      </c>
      <c r="J118" s="4">
        <f t="shared" si="3"/>
        <v>0</v>
      </c>
      <c r="K118" s="4">
        <v>240000</v>
      </c>
      <c r="L118" s="4">
        <f t="shared" si="4"/>
        <v>0</v>
      </c>
      <c r="M118" s="2" t="s">
        <v>35</v>
      </c>
      <c r="N118" s="3" t="str">
        <f t="shared" si="5"/>
        <v>Habis</v>
      </c>
      <c r="O118" s="2" t="s">
        <v>59</v>
      </c>
    </row>
    <row r="119" spans="1:15" x14ac:dyDescent="0.35">
      <c r="A119" s="5" t="s">
        <v>332</v>
      </c>
      <c r="B119" s="5" t="s">
        <v>184</v>
      </c>
      <c r="C119" s="5" t="s">
        <v>62</v>
      </c>
      <c r="D119" s="5" t="s">
        <v>63</v>
      </c>
      <c r="E119" s="5" t="s">
        <v>34</v>
      </c>
      <c r="F119" s="6" t="s">
        <v>299</v>
      </c>
      <c r="G119" s="6" t="s">
        <v>333</v>
      </c>
      <c r="H119" s="7">
        <v>200</v>
      </c>
      <c r="I119" s="7">
        <v>128</v>
      </c>
      <c r="J119" s="7">
        <f t="shared" si="3"/>
        <v>72</v>
      </c>
      <c r="K119" s="7">
        <v>1250000</v>
      </c>
      <c r="L119" s="7">
        <f t="shared" si="4"/>
        <v>90000000</v>
      </c>
      <c r="M119" s="5" t="s">
        <v>30</v>
      </c>
      <c r="N119" s="6" t="str">
        <f t="shared" si="5"/>
        <v>Tersedia</v>
      </c>
      <c r="O119" s="5" t="s">
        <v>44</v>
      </c>
    </row>
    <row r="120" spans="1:15" x14ac:dyDescent="0.35">
      <c r="A120" s="2" t="s">
        <v>334</v>
      </c>
      <c r="B120" s="2" t="s">
        <v>184</v>
      </c>
      <c r="C120" s="2" t="s">
        <v>62</v>
      </c>
      <c r="D120" s="2" t="s">
        <v>63</v>
      </c>
      <c r="E120" s="2" t="s">
        <v>56</v>
      </c>
      <c r="F120" s="3" t="s">
        <v>335</v>
      </c>
      <c r="G120" s="3" t="s">
        <v>336</v>
      </c>
      <c r="H120" s="4">
        <v>200</v>
      </c>
      <c r="I120" s="4">
        <v>196</v>
      </c>
      <c r="J120" s="4">
        <f t="shared" si="3"/>
        <v>4</v>
      </c>
      <c r="K120" s="4">
        <v>1250000</v>
      </c>
      <c r="L120" s="4">
        <f t="shared" si="4"/>
        <v>5000000</v>
      </c>
      <c r="M120" s="2" t="s">
        <v>85</v>
      </c>
      <c r="N120" s="3" t="str">
        <f t="shared" si="5"/>
        <v>Menipis</v>
      </c>
      <c r="O120" s="2" t="s">
        <v>44</v>
      </c>
    </row>
    <row r="121" spans="1:15" x14ac:dyDescent="0.35">
      <c r="A121" s="5" t="s">
        <v>337</v>
      </c>
      <c r="B121" s="5" t="s">
        <v>100</v>
      </c>
      <c r="C121" s="5" t="s">
        <v>81</v>
      </c>
      <c r="D121" s="5" t="s">
        <v>82</v>
      </c>
      <c r="E121" s="5" t="s">
        <v>47</v>
      </c>
      <c r="F121" s="6" t="s">
        <v>338</v>
      </c>
      <c r="G121" s="6" t="s">
        <v>28</v>
      </c>
      <c r="H121" s="7">
        <v>20</v>
      </c>
      <c r="I121" s="7">
        <v>5</v>
      </c>
      <c r="J121" s="7">
        <f t="shared" si="3"/>
        <v>15</v>
      </c>
      <c r="K121" s="7">
        <v>220000</v>
      </c>
      <c r="L121" s="7">
        <f t="shared" si="4"/>
        <v>3300000</v>
      </c>
      <c r="M121" s="5" t="s">
        <v>35</v>
      </c>
      <c r="N121" s="6" t="str">
        <f t="shared" si="5"/>
        <v>Tersedia</v>
      </c>
      <c r="O121" s="5" t="s">
        <v>59</v>
      </c>
    </row>
    <row r="122" spans="1:15" x14ac:dyDescent="0.35">
      <c r="A122" s="2" t="s">
        <v>260</v>
      </c>
      <c r="B122" s="2" t="s">
        <v>206</v>
      </c>
      <c r="C122" s="2" t="s">
        <v>73</v>
      </c>
      <c r="D122" s="2" t="s">
        <v>74</v>
      </c>
      <c r="E122" s="2" t="s">
        <v>101</v>
      </c>
      <c r="F122" s="3" t="s">
        <v>254</v>
      </c>
      <c r="G122" s="3"/>
      <c r="H122" s="4">
        <v>100</v>
      </c>
      <c r="I122" s="4">
        <v>0</v>
      </c>
      <c r="J122" s="4">
        <f t="shared" si="3"/>
        <v>100</v>
      </c>
      <c r="K122" s="4">
        <v>45000</v>
      </c>
      <c r="L122" s="4">
        <f t="shared" si="4"/>
        <v>4500000</v>
      </c>
      <c r="M122" s="2" t="s">
        <v>43</v>
      </c>
      <c r="N122" s="3" t="str">
        <f t="shared" si="5"/>
        <v>Tersedia</v>
      </c>
      <c r="O122" s="2" t="s">
        <v>44</v>
      </c>
    </row>
    <row r="123" spans="1:15" x14ac:dyDescent="0.35">
      <c r="A123" s="5" t="s">
        <v>339</v>
      </c>
      <c r="B123" s="5" t="s">
        <v>67</v>
      </c>
      <c r="C123" s="5" t="s">
        <v>39</v>
      </c>
      <c r="D123" s="5" t="s">
        <v>40</v>
      </c>
      <c r="E123" s="5" t="s">
        <v>47</v>
      </c>
      <c r="F123" s="6" t="s">
        <v>128</v>
      </c>
      <c r="G123" s="6" t="s">
        <v>340</v>
      </c>
      <c r="H123" s="7">
        <v>10</v>
      </c>
      <c r="I123" s="7">
        <v>9</v>
      </c>
      <c r="J123" s="7">
        <f t="shared" si="3"/>
        <v>1</v>
      </c>
      <c r="K123" s="7">
        <v>3800000</v>
      </c>
      <c r="L123" s="7">
        <f t="shared" si="4"/>
        <v>3800000</v>
      </c>
      <c r="M123" s="5" t="s">
        <v>85</v>
      </c>
      <c r="N123" s="6" t="str">
        <f t="shared" si="5"/>
        <v>Menipis</v>
      </c>
      <c r="O123" s="5" t="s">
        <v>70</v>
      </c>
    </row>
    <row r="124" spans="1:15" x14ac:dyDescent="0.35">
      <c r="A124" s="2" t="s">
        <v>190</v>
      </c>
      <c r="B124" s="2" t="s">
        <v>80</v>
      </c>
      <c r="C124" s="2" t="s">
        <v>81</v>
      </c>
      <c r="D124" s="2" t="s">
        <v>82</v>
      </c>
      <c r="E124" s="2" t="s">
        <v>34</v>
      </c>
      <c r="F124" s="3" t="s">
        <v>341</v>
      </c>
      <c r="G124" s="3" t="s">
        <v>342</v>
      </c>
      <c r="H124" s="4">
        <v>20</v>
      </c>
      <c r="I124" s="4">
        <v>4</v>
      </c>
      <c r="J124" s="4">
        <f t="shared" si="3"/>
        <v>16</v>
      </c>
      <c r="K124" s="4">
        <v>280000</v>
      </c>
      <c r="L124" s="4">
        <f t="shared" si="4"/>
        <v>4480000</v>
      </c>
      <c r="M124" s="2" t="s">
        <v>35</v>
      </c>
      <c r="N124" s="3" t="str">
        <f t="shared" si="5"/>
        <v>Tersedia</v>
      </c>
      <c r="O124" s="2" t="s">
        <v>59</v>
      </c>
    </row>
    <row r="125" spans="1:15" x14ac:dyDescent="0.35">
      <c r="A125" s="5" t="s">
        <v>343</v>
      </c>
      <c r="B125" s="5" t="s">
        <v>114</v>
      </c>
      <c r="C125" s="5" t="s">
        <v>17</v>
      </c>
      <c r="D125" s="5" t="s">
        <v>18</v>
      </c>
      <c r="E125" s="5" t="s">
        <v>64</v>
      </c>
      <c r="F125" s="6" t="s">
        <v>344</v>
      </c>
      <c r="G125" s="6" t="s">
        <v>305</v>
      </c>
      <c r="H125" s="7">
        <v>200</v>
      </c>
      <c r="I125" s="7">
        <v>168</v>
      </c>
      <c r="J125" s="7">
        <f t="shared" si="3"/>
        <v>32</v>
      </c>
      <c r="K125" s="7">
        <v>85000</v>
      </c>
      <c r="L125" s="7">
        <f t="shared" si="4"/>
        <v>2720000</v>
      </c>
      <c r="M125" s="5" t="s">
        <v>30</v>
      </c>
      <c r="N125" s="6" t="str">
        <f t="shared" si="5"/>
        <v>Tersedia</v>
      </c>
      <c r="O125" s="5" t="s">
        <v>59</v>
      </c>
    </row>
    <row r="126" spans="1:15" x14ac:dyDescent="0.35">
      <c r="A126" s="2" t="s">
        <v>345</v>
      </c>
      <c r="B126" s="2" t="s">
        <v>120</v>
      </c>
      <c r="C126" s="2" t="s">
        <v>73</v>
      </c>
      <c r="D126" s="2" t="s">
        <v>74</v>
      </c>
      <c r="E126" s="2" t="s">
        <v>56</v>
      </c>
      <c r="F126" s="3" t="s">
        <v>133</v>
      </c>
      <c r="G126" s="3" t="s">
        <v>346</v>
      </c>
      <c r="H126" s="4">
        <v>10</v>
      </c>
      <c r="I126" s="4">
        <v>7</v>
      </c>
      <c r="J126" s="4">
        <f t="shared" si="3"/>
        <v>3</v>
      </c>
      <c r="K126" s="4">
        <v>75000</v>
      </c>
      <c r="L126" s="4">
        <f t="shared" si="4"/>
        <v>225000</v>
      </c>
      <c r="M126" s="2" t="s">
        <v>43</v>
      </c>
      <c r="N126" s="3" t="str">
        <f t="shared" si="5"/>
        <v>Menipis</v>
      </c>
      <c r="O126" s="2" t="s">
        <v>70</v>
      </c>
    </row>
    <row r="127" spans="1:15" x14ac:dyDescent="0.35">
      <c r="A127" s="5" t="s">
        <v>347</v>
      </c>
      <c r="B127" s="5" t="s">
        <v>127</v>
      </c>
      <c r="C127" s="5" t="s">
        <v>39</v>
      </c>
      <c r="D127" s="5" t="s">
        <v>40</v>
      </c>
      <c r="E127" s="5" t="s">
        <v>68</v>
      </c>
      <c r="F127" s="6" t="s">
        <v>90</v>
      </c>
      <c r="G127" s="6" t="s">
        <v>348</v>
      </c>
      <c r="H127" s="7">
        <v>2</v>
      </c>
      <c r="I127" s="7">
        <v>1</v>
      </c>
      <c r="J127" s="7">
        <f t="shared" si="3"/>
        <v>1</v>
      </c>
      <c r="K127" s="7">
        <v>1550000</v>
      </c>
      <c r="L127" s="7">
        <f t="shared" si="4"/>
        <v>1550000</v>
      </c>
      <c r="M127" s="5" t="s">
        <v>30</v>
      </c>
      <c r="N127" s="6" t="str">
        <f t="shared" si="5"/>
        <v>Menipis</v>
      </c>
      <c r="O127" s="5" t="s">
        <v>36</v>
      </c>
    </row>
    <row r="128" spans="1:15" x14ac:dyDescent="0.35">
      <c r="A128" s="2" t="s">
        <v>349</v>
      </c>
      <c r="B128" s="2" t="s">
        <v>138</v>
      </c>
      <c r="C128" s="2" t="s">
        <v>62</v>
      </c>
      <c r="D128" s="2" t="s">
        <v>63</v>
      </c>
      <c r="E128" s="2" t="s">
        <v>96</v>
      </c>
      <c r="F128" s="3" t="s">
        <v>350</v>
      </c>
      <c r="G128" s="3" t="s">
        <v>351</v>
      </c>
      <c r="H128" s="4">
        <v>150</v>
      </c>
      <c r="I128" s="4">
        <v>89</v>
      </c>
      <c r="J128" s="4">
        <f t="shared" si="3"/>
        <v>61</v>
      </c>
      <c r="K128" s="4">
        <v>450000</v>
      </c>
      <c r="L128" s="4">
        <f t="shared" si="4"/>
        <v>27450000</v>
      </c>
      <c r="M128" s="2" t="s">
        <v>35</v>
      </c>
      <c r="N128" s="3" t="str">
        <f t="shared" si="5"/>
        <v>Tersedia</v>
      </c>
      <c r="O128" s="2" t="s">
        <v>86</v>
      </c>
    </row>
    <row r="129" spans="1:15" x14ac:dyDescent="0.35">
      <c r="A129" s="5" t="s">
        <v>352</v>
      </c>
      <c r="B129" s="5" t="s">
        <v>138</v>
      </c>
      <c r="C129" s="5" t="s">
        <v>62</v>
      </c>
      <c r="D129" s="5" t="s">
        <v>63</v>
      </c>
      <c r="E129" s="5" t="s">
        <v>96</v>
      </c>
      <c r="F129" s="6" t="s">
        <v>350</v>
      </c>
      <c r="G129" s="6" t="s">
        <v>351</v>
      </c>
      <c r="H129" s="7">
        <v>100</v>
      </c>
      <c r="I129" s="7">
        <v>51</v>
      </c>
      <c r="J129" s="7">
        <f t="shared" si="3"/>
        <v>49</v>
      </c>
      <c r="K129" s="7">
        <v>450000</v>
      </c>
      <c r="L129" s="7">
        <f t="shared" si="4"/>
        <v>22050000</v>
      </c>
      <c r="M129" s="5" t="s">
        <v>43</v>
      </c>
      <c r="N129" s="6" t="str">
        <f t="shared" si="5"/>
        <v>Tersedia</v>
      </c>
      <c r="O129" s="5" t="s">
        <v>44</v>
      </c>
    </row>
    <row r="130" spans="1:15" x14ac:dyDescent="0.35">
      <c r="A130" s="2" t="s">
        <v>353</v>
      </c>
      <c r="B130" s="2" t="s">
        <v>100</v>
      </c>
      <c r="C130" s="2" t="s">
        <v>81</v>
      </c>
      <c r="D130" s="2" t="s">
        <v>82</v>
      </c>
      <c r="E130" s="2" t="s">
        <v>47</v>
      </c>
      <c r="F130" s="3" t="s">
        <v>354</v>
      </c>
      <c r="G130" s="3"/>
      <c r="H130" s="4">
        <v>100</v>
      </c>
      <c r="I130" s="4">
        <v>0</v>
      </c>
      <c r="J130" s="4">
        <f t="shared" ref="J130:J193" si="6">H130-I130</f>
        <v>100</v>
      </c>
      <c r="K130" s="4">
        <v>220000</v>
      </c>
      <c r="L130" s="4">
        <f t="shared" ref="L130:L193" si="7">J130*K130</f>
        <v>22000000</v>
      </c>
      <c r="M130" s="2" t="s">
        <v>35</v>
      </c>
      <c r="N130" s="3" t="str">
        <f t="shared" ref="N130:N193" si="8">IF(J130&lt;=0,"Habis",IF(J130&lt;=5,"Menipis","Tersedia"))</f>
        <v>Tersedia</v>
      </c>
      <c r="O130" s="2" t="s">
        <v>44</v>
      </c>
    </row>
    <row r="131" spans="1:15" x14ac:dyDescent="0.35">
      <c r="A131" s="5" t="s">
        <v>234</v>
      </c>
      <c r="B131" s="5" t="s">
        <v>88</v>
      </c>
      <c r="C131" s="5" t="s">
        <v>73</v>
      </c>
      <c r="D131" s="5" t="s">
        <v>74</v>
      </c>
      <c r="E131" s="5" t="s">
        <v>52</v>
      </c>
      <c r="F131" s="6" t="s">
        <v>355</v>
      </c>
      <c r="G131" s="6" t="s">
        <v>356</v>
      </c>
      <c r="H131" s="7">
        <v>10</v>
      </c>
      <c r="I131" s="7">
        <v>3</v>
      </c>
      <c r="J131" s="7">
        <f t="shared" si="6"/>
        <v>7</v>
      </c>
      <c r="K131" s="7">
        <v>650000</v>
      </c>
      <c r="L131" s="7">
        <f t="shared" si="7"/>
        <v>4550000</v>
      </c>
      <c r="M131" s="5" t="s">
        <v>43</v>
      </c>
      <c r="N131" s="6" t="str">
        <f t="shared" si="8"/>
        <v>Tersedia</v>
      </c>
      <c r="O131" s="5" t="s">
        <v>23</v>
      </c>
    </row>
    <row r="132" spans="1:15" x14ac:dyDescent="0.35">
      <c r="A132" s="2" t="s">
        <v>216</v>
      </c>
      <c r="B132" s="2" t="s">
        <v>25</v>
      </c>
      <c r="C132" s="2" t="s">
        <v>26</v>
      </c>
      <c r="D132" s="2" t="s">
        <v>27</v>
      </c>
      <c r="E132" s="2" t="s">
        <v>52</v>
      </c>
      <c r="F132" s="3" t="s">
        <v>331</v>
      </c>
      <c r="G132" s="3" t="s">
        <v>289</v>
      </c>
      <c r="H132" s="4">
        <v>150</v>
      </c>
      <c r="I132" s="4">
        <v>42</v>
      </c>
      <c r="J132" s="4">
        <f t="shared" si="6"/>
        <v>108</v>
      </c>
      <c r="K132" s="4">
        <v>45000</v>
      </c>
      <c r="L132" s="4">
        <f t="shared" si="7"/>
        <v>4860000</v>
      </c>
      <c r="M132" s="2" t="s">
        <v>85</v>
      </c>
      <c r="N132" s="3" t="str">
        <f t="shared" si="8"/>
        <v>Tersedia</v>
      </c>
      <c r="O132" s="2" t="s">
        <v>44</v>
      </c>
    </row>
    <row r="133" spans="1:15" x14ac:dyDescent="0.35">
      <c r="A133" s="5" t="s">
        <v>357</v>
      </c>
      <c r="B133" s="5" t="s">
        <v>138</v>
      </c>
      <c r="C133" s="5" t="s">
        <v>62</v>
      </c>
      <c r="D133" s="5" t="s">
        <v>63</v>
      </c>
      <c r="E133" s="5" t="s">
        <v>64</v>
      </c>
      <c r="F133" s="6" t="s">
        <v>358</v>
      </c>
      <c r="G133" s="6" t="s">
        <v>202</v>
      </c>
      <c r="H133" s="7">
        <v>10</v>
      </c>
      <c r="I133" s="7">
        <v>4</v>
      </c>
      <c r="J133" s="7">
        <f t="shared" si="6"/>
        <v>6</v>
      </c>
      <c r="K133" s="7">
        <v>450000</v>
      </c>
      <c r="L133" s="7">
        <f t="shared" si="7"/>
        <v>2700000</v>
      </c>
      <c r="M133" s="5" t="s">
        <v>43</v>
      </c>
      <c r="N133" s="6" t="str">
        <f t="shared" si="8"/>
        <v>Tersedia</v>
      </c>
      <c r="O133" s="5" t="s">
        <v>70</v>
      </c>
    </row>
    <row r="134" spans="1:15" x14ac:dyDescent="0.35">
      <c r="A134" s="2" t="s">
        <v>359</v>
      </c>
      <c r="B134" s="2" t="s">
        <v>184</v>
      </c>
      <c r="C134" s="2" t="s">
        <v>62</v>
      </c>
      <c r="D134" s="2" t="s">
        <v>63</v>
      </c>
      <c r="E134" s="2" t="s">
        <v>52</v>
      </c>
      <c r="F134" s="3" t="s">
        <v>360</v>
      </c>
      <c r="G134" s="3" t="s">
        <v>361</v>
      </c>
      <c r="H134" s="4">
        <v>10</v>
      </c>
      <c r="I134" s="4">
        <v>2</v>
      </c>
      <c r="J134" s="4">
        <f t="shared" si="6"/>
        <v>8</v>
      </c>
      <c r="K134" s="4">
        <v>1250000</v>
      </c>
      <c r="L134" s="4">
        <f t="shared" si="7"/>
        <v>10000000</v>
      </c>
      <c r="M134" s="2" t="s">
        <v>85</v>
      </c>
      <c r="N134" s="3" t="str">
        <f t="shared" si="8"/>
        <v>Tersedia</v>
      </c>
      <c r="O134" s="2" t="s">
        <v>70</v>
      </c>
    </row>
    <row r="135" spans="1:15" x14ac:dyDescent="0.35">
      <c r="A135" s="5" t="s">
        <v>256</v>
      </c>
      <c r="B135" s="5" t="s">
        <v>184</v>
      </c>
      <c r="C135" s="5" t="s">
        <v>62</v>
      </c>
      <c r="D135" s="5" t="s">
        <v>63</v>
      </c>
      <c r="E135" s="5" t="s">
        <v>151</v>
      </c>
      <c r="F135" s="6" t="s">
        <v>362</v>
      </c>
      <c r="G135" s="6" t="s">
        <v>363</v>
      </c>
      <c r="H135" s="7">
        <v>10</v>
      </c>
      <c r="I135" s="7">
        <v>10</v>
      </c>
      <c r="J135" s="7">
        <f t="shared" si="6"/>
        <v>0</v>
      </c>
      <c r="K135" s="7">
        <v>1250000</v>
      </c>
      <c r="L135" s="7">
        <f t="shared" si="7"/>
        <v>0</v>
      </c>
      <c r="M135" s="5" t="s">
        <v>43</v>
      </c>
      <c r="N135" s="6" t="str">
        <f t="shared" si="8"/>
        <v>Habis</v>
      </c>
      <c r="O135" s="5" t="s">
        <v>59</v>
      </c>
    </row>
    <row r="136" spans="1:15" x14ac:dyDescent="0.35">
      <c r="A136" s="2" t="s">
        <v>364</v>
      </c>
      <c r="B136" s="2" t="s">
        <v>25</v>
      </c>
      <c r="C136" s="2" t="s">
        <v>26</v>
      </c>
      <c r="D136" s="2" t="s">
        <v>27</v>
      </c>
      <c r="E136" s="2" t="s">
        <v>56</v>
      </c>
      <c r="F136" s="3" t="s">
        <v>365</v>
      </c>
      <c r="G136" s="3" t="s">
        <v>366</v>
      </c>
      <c r="H136" s="4">
        <v>50</v>
      </c>
      <c r="I136" s="4">
        <v>33</v>
      </c>
      <c r="J136" s="4">
        <f t="shared" si="6"/>
        <v>17</v>
      </c>
      <c r="K136" s="4">
        <v>45000</v>
      </c>
      <c r="L136" s="4">
        <f t="shared" si="7"/>
        <v>765000</v>
      </c>
      <c r="M136" s="2" t="s">
        <v>22</v>
      </c>
      <c r="N136" s="3" t="str">
        <f t="shared" si="8"/>
        <v>Tersedia</v>
      </c>
      <c r="O136" s="2" t="s">
        <v>31</v>
      </c>
    </row>
    <row r="137" spans="1:15" x14ac:dyDescent="0.35">
      <c r="A137" s="5" t="s">
        <v>364</v>
      </c>
      <c r="B137" s="5" t="s">
        <v>217</v>
      </c>
      <c r="C137" s="5" t="s">
        <v>26</v>
      </c>
      <c r="D137" s="5" t="s">
        <v>27</v>
      </c>
      <c r="E137" s="5" t="s">
        <v>68</v>
      </c>
      <c r="F137" s="6" t="s">
        <v>303</v>
      </c>
      <c r="G137" s="6" t="s">
        <v>90</v>
      </c>
      <c r="H137" s="7">
        <v>150</v>
      </c>
      <c r="I137" s="7">
        <v>115</v>
      </c>
      <c r="J137" s="7">
        <f t="shared" si="6"/>
        <v>35</v>
      </c>
      <c r="K137" s="7">
        <v>55000</v>
      </c>
      <c r="L137" s="7">
        <f t="shared" si="7"/>
        <v>1925000</v>
      </c>
      <c r="M137" s="5" t="s">
        <v>43</v>
      </c>
      <c r="N137" s="6" t="str">
        <f t="shared" si="8"/>
        <v>Tersedia</v>
      </c>
      <c r="O137" s="5" t="s">
        <v>76</v>
      </c>
    </row>
    <row r="138" spans="1:15" x14ac:dyDescent="0.35">
      <c r="A138" s="2" t="s">
        <v>367</v>
      </c>
      <c r="B138" s="2" t="s">
        <v>108</v>
      </c>
      <c r="C138" s="2" t="s">
        <v>62</v>
      </c>
      <c r="D138" s="2" t="s">
        <v>63</v>
      </c>
      <c r="E138" s="2" t="s">
        <v>101</v>
      </c>
      <c r="F138" s="3" t="s">
        <v>368</v>
      </c>
      <c r="G138" s="3" t="s">
        <v>41</v>
      </c>
      <c r="H138" s="4">
        <v>100</v>
      </c>
      <c r="I138" s="4">
        <v>56</v>
      </c>
      <c r="J138" s="4">
        <f t="shared" si="6"/>
        <v>44</v>
      </c>
      <c r="K138" s="4">
        <v>650000</v>
      </c>
      <c r="L138" s="4">
        <f t="shared" si="7"/>
        <v>28600000</v>
      </c>
      <c r="M138" s="2" t="s">
        <v>30</v>
      </c>
      <c r="N138" s="3" t="str">
        <f t="shared" si="8"/>
        <v>Tersedia</v>
      </c>
      <c r="O138" s="2" t="s">
        <v>86</v>
      </c>
    </row>
    <row r="139" spans="1:15" x14ac:dyDescent="0.35">
      <c r="A139" s="5" t="s">
        <v>369</v>
      </c>
      <c r="B139" s="5" t="s">
        <v>67</v>
      </c>
      <c r="C139" s="5" t="s">
        <v>39</v>
      </c>
      <c r="D139" s="5" t="s">
        <v>40</v>
      </c>
      <c r="E139" s="5" t="s">
        <v>47</v>
      </c>
      <c r="F139" s="6" t="s">
        <v>370</v>
      </c>
      <c r="G139" s="6" t="s">
        <v>371</v>
      </c>
      <c r="H139" s="7">
        <v>10</v>
      </c>
      <c r="I139" s="7">
        <v>4</v>
      </c>
      <c r="J139" s="7">
        <f t="shared" si="6"/>
        <v>6</v>
      </c>
      <c r="K139" s="7">
        <v>3800000</v>
      </c>
      <c r="L139" s="7">
        <f t="shared" si="7"/>
        <v>22800000</v>
      </c>
      <c r="M139" s="5" t="s">
        <v>30</v>
      </c>
      <c r="N139" s="6" t="str">
        <f t="shared" si="8"/>
        <v>Tersedia</v>
      </c>
      <c r="O139" s="5" t="s">
        <v>70</v>
      </c>
    </row>
    <row r="140" spans="1:15" x14ac:dyDescent="0.35">
      <c r="A140" s="2" t="s">
        <v>372</v>
      </c>
      <c r="B140" s="2" t="s">
        <v>108</v>
      </c>
      <c r="C140" s="2" t="s">
        <v>62</v>
      </c>
      <c r="D140" s="2" t="s">
        <v>63</v>
      </c>
      <c r="E140" s="2" t="s">
        <v>34</v>
      </c>
      <c r="F140" s="3" t="s">
        <v>373</v>
      </c>
      <c r="G140" s="3" t="s">
        <v>308</v>
      </c>
      <c r="H140" s="4">
        <v>200</v>
      </c>
      <c r="I140" s="4">
        <v>186</v>
      </c>
      <c r="J140" s="4">
        <f t="shared" si="6"/>
        <v>14</v>
      </c>
      <c r="K140" s="4">
        <v>650000</v>
      </c>
      <c r="L140" s="4">
        <f t="shared" si="7"/>
        <v>9100000</v>
      </c>
      <c r="M140" s="2" t="s">
        <v>85</v>
      </c>
      <c r="N140" s="3" t="str">
        <f t="shared" si="8"/>
        <v>Tersedia</v>
      </c>
      <c r="O140" s="2" t="s">
        <v>36</v>
      </c>
    </row>
    <row r="141" spans="1:15" x14ac:dyDescent="0.35">
      <c r="A141" s="5" t="s">
        <v>374</v>
      </c>
      <c r="B141" s="5" t="s">
        <v>206</v>
      </c>
      <c r="C141" s="5" t="s">
        <v>73</v>
      </c>
      <c r="D141" s="5" t="s">
        <v>74</v>
      </c>
      <c r="E141" s="5" t="s">
        <v>34</v>
      </c>
      <c r="F141" s="6" t="s">
        <v>375</v>
      </c>
      <c r="G141" s="6" t="s">
        <v>376</v>
      </c>
      <c r="H141" s="7">
        <v>20</v>
      </c>
      <c r="I141" s="7">
        <v>8</v>
      </c>
      <c r="J141" s="7">
        <f t="shared" si="6"/>
        <v>12</v>
      </c>
      <c r="K141" s="7">
        <v>45000</v>
      </c>
      <c r="L141" s="7">
        <f t="shared" si="7"/>
        <v>540000</v>
      </c>
      <c r="M141" s="5" t="s">
        <v>30</v>
      </c>
      <c r="N141" s="6" t="str">
        <f t="shared" si="8"/>
        <v>Tersedia</v>
      </c>
      <c r="O141" s="5" t="s">
        <v>44</v>
      </c>
    </row>
    <row r="142" spans="1:15" x14ac:dyDescent="0.35">
      <c r="A142" s="2" t="s">
        <v>178</v>
      </c>
      <c r="B142" s="2" t="s">
        <v>158</v>
      </c>
      <c r="C142" s="2" t="s">
        <v>26</v>
      </c>
      <c r="D142" s="2" t="s">
        <v>27</v>
      </c>
      <c r="E142" s="2" t="s">
        <v>151</v>
      </c>
      <c r="F142" s="3" t="s">
        <v>191</v>
      </c>
      <c r="G142" s="3"/>
      <c r="H142" s="4">
        <v>100</v>
      </c>
      <c r="I142" s="4">
        <v>0</v>
      </c>
      <c r="J142" s="4">
        <f t="shared" si="6"/>
        <v>100</v>
      </c>
      <c r="K142" s="4">
        <v>65000</v>
      </c>
      <c r="L142" s="4">
        <f t="shared" si="7"/>
        <v>6500000</v>
      </c>
      <c r="M142" s="2" t="s">
        <v>35</v>
      </c>
      <c r="N142" s="3" t="str">
        <f t="shared" si="8"/>
        <v>Tersedia</v>
      </c>
      <c r="O142" s="2" t="s">
        <v>59</v>
      </c>
    </row>
    <row r="143" spans="1:15" x14ac:dyDescent="0.35">
      <c r="A143" s="5" t="s">
        <v>161</v>
      </c>
      <c r="B143" s="5" t="s">
        <v>144</v>
      </c>
      <c r="C143" s="5" t="s">
        <v>39</v>
      </c>
      <c r="D143" s="5" t="s">
        <v>40</v>
      </c>
      <c r="E143" s="5" t="s">
        <v>68</v>
      </c>
      <c r="F143" s="6" t="s">
        <v>377</v>
      </c>
      <c r="G143" s="6" t="s">
        <v>378</v>
      </c>
      <c r="H143" s="7">
        <v>5</v>
      </c>
      <c r="I143" s="7">
        <v>4</v>
      </c>
      <c r="J143" s="7">
        <f t="shared" si="6"/>
        <v>1</v>
      </c>
      <c r="K143" s="7">
        <v>2450000</v>
      </c>
      <c r="L143" s="7">
        <f t="shared" si="7"/>
        <v>2450000</v>
      </c>
      <c r="M143" s="5" t="s">
        <v>35</v>
      </c>
      <c r="N143" s="6" t="str">
        <f t="shared" si="8"/>
        <v>Menipis</v>
      </c>
      <c r="O143" s="5" t="s">
        <v>36</v>
      </c>
    </row>
    <row r="144" spans="1:15" x14ac:dyDescent="0.35">
      <c r="A144" s="2" t="s">
        <v>379</v>
      </c>
      <c r="B144" s="2" t="s">
        <v>120</v>
      </c>
      <c r="C144" s="2" t="s">
        <v>73</v>
      </c>
      <c r="D144" s="2" t="s">
        <v>74</v>
      </c>
      <c r="E144" s="2" t="s">
        <v>47</v>
      </c>
      <c r="F144" s="3" t="s">
        <v>293</v>
      </c>
      <c r="G144" s="3" t="s">
        <v>229</v>
      </c>
      <c r="H144" s="4">
        <v>150</v>
      </c>
      <c r="I144" s="4">
        <v>112</v>
      </c>
      <c r="J144" s="4">
        <f t="shared" si="6"/>
        <v>38</v>
      </c>
      <c r="K144" s="4">
        <v>75000</v>
      </c>
      <c r="L144" s="4">
        <f t="shared" si="7"/>
        <v>2850000</v>
      </c>
      <c r="M144" s="2" t="s">
        <v>30</v>
      </c>
      <c r="N144" s="3" t="str">
        <f t="shared" si="8"/>
        <v>Tersedia</v>
      </c>
      <c r="O144" s="2" t="s">
        <v>31</v>
      </c>
    </row>
    <row r="145" spans="1:15" x14ac:dyDescent="0.35">
      <c r="A145" s="5" t="s">
        <v>173</v>
      </c>
      <c r="B145" s="5" t="s">
        <v>16</v>
      </c>
      <c r="C145" s="5" t="s">
        <v>17</v>
      </c>
      <c r="D145" s="5" t="s">
        <v>18</v>
      </c>
      <c r="E145" s="5" t="s">
        <v>34</v>
      </c>
      <c r="F145" s="6" t="s">
        <v>49</v>
      </c>
      <c r="G145" s="6" t="s">
        <v>189</v>
      </c>
      <c r="H145" s="7">
        <v>20</v>
      </c>
      <c r="I145" s="7">
        <v>3</v>
      </c>
      <c r="J145" s="7">
        <f t="shared" si="6"/>
        <v>17</v>
      </c>
      <c r="K145" s="7">
        <v>45000</v>
      </c>
      <c r="L145" s="7">
        <f t="shared" si="7"/>
        <v>765000</v>
      </c>
      <c r="M145" s="5" t="s">
        <v>43</v>
      </c>
      <c r="N145" s="6" t="str">
        <f t="shared" si="8"/>
        <v>Tersedia</v>
      </c>
      <c r="O145" s="5" t="s">
        <v>59</v>
      </c>
    </row>
    <row r="146" spans="1:15" x14ac:dyDescent="0.35">
      <c r="A146" s="2" t="s">
        <v>256</v>
      </c>
      <c r="B146" s="2" t="s">
        <v>95</v>
      </c>
      <c r="C146" s="2" t="s">
        <v>62</v>
      </c>
      <c r="D146" s="2" t="s">
        <v>63</v>
      </c>
      <c r="E146" s="2" t="s">
        <v>101</v>
      </c>
      <c r="F146" s="3" t="s">
        <v>274</v>
      </c>
      <c r="G146" s="3" t="s">
        <v>269</v>
      </c>
      <c r="H146" s="4">
        <v>150</v>
      </c>
      <c r="I146" s="4">
        <v>25</v>
      </c>
      <c r="J146" s="4">
        <f t="shared" si="6"/>
        <v>125</v>
      </c>
      <c r="K146" s="4">
        <v>850000</v>
      </c>
      <c r="L146" s="4">
        <f t="shared" si="7"/>
        <v>106250000</v>
      </c>
      <c r="M146" s="2" t="s">
        <v>35</v>
      </c>
      <c r="N146" s="3" t="str">
        <f t="shared" si="8"/>
        <v>Tersedia</v>
      </c>
      <c r="O146" s="2" t="s">
        <v>31</v>
      </c>
    </row>
    <row r="147" spans="1:15" x14ac:dyDescent="0.35">
      <c r="A147" s="5" t="s">
        <v>260</v>
      </c>
      <c r="B147" s="5" t="s">
        <v>100</v>
      </c>
      <c r="C147" s="5" t="s">
        <v>81</v>
      </c>
      <c r="D147" s="5" t="s">
        <v>82</v>
      </c>
      <c r="E147" s="5" t="s">
        <v>64</v>
      </c>
      <c r="F147" s="6" t="s">
        <v>307</v>
      </c>
      <c r="G147" s="6"/>
      <c r="H147" s="7">
        <v>100</v>
      </c>
      <c r="I147" s="7">
        <v>0</v>
      </c>
      <c r="J147" s="7">
        <f t="shared" si="6"/>
        <v>100</v>
      </c>
      <c r="K147" s="7">
        <v>220000</v>
      </c>
      <c r="L147" s="7">
        <f t="shared" si="7"/>
        <v>22000000</v>
      </c>
      <c r="M147" s="5" t="s">
        <v>30</v>
      </c>
      <c r="N147" s="6" t="str">
        <f t="shared" si="8"/>
        <v>Tersedia</v>
      </c>
      <c r="O147" s="5" t="s">
        <v>36</v>
      </c>
    </row>
    <row r="148" spans="1:15" x14ac:dyDescent="0.35">
      <c r="A148" s="2" t="s">
        <v>104</v>
      </c>
      <c r="B148" s="2" t="s">
        <v>117</v>
      </c>
      <c r="C148" s="2" t="s">
        <v>81</v>
      </c>
      <c r="D148" s="2" t="s">
        <v>82</v>
      </c>
      <c r="E148" s="2" t="s">
        <v>47</v>
      </c>
      <c r="F148" s="3" t="s">
        <v>380</v>
      </c>
      <c r="G148" s="3" t="s">
        <v>381</v>
      </c>
      <c r="H148" s="4">
        <v>10</v>
      </c>
      <c r="I148" s="4">
        <v>8</v>
      </c>
      <c r="J148" s="4">
        <f t="shared" si="6"/>
        <v>2</v>
      </c>
      <c r="K148" s="4">
        <v>310000</v>
      </c>
      <c r="L148" s="4">
        <f t="shared" si="7"/>
        <v>620000</v>
      </c>
      <c r="M148" s="2" t="s">
        <v>85</v>
      </c>
      <c r="N148" s="3" t="str">
        <f t="shared" si="8"/>
        <v>Menipis</v>
      </c>
      <c r="O148" s="2" t="s">
        <v>70</v>
      </c>
    </row>
    <row r="149" spans="1:15" x14ac:dyDescent="0.35">
      <c r="A149" s="5" t="s">
        <v>382</v>
      </c>
      <c r="B149" s="5" t="s">
        <v>127</v>
      </c>
      <c r="C149" s="5" t="s">
        <v>39</v>
      </c>
      <c r="D149" s="5" t="s">
        <v>40</v>
      </c>
      <c r="E149" s="5" t="s">
        <v>101</v>
      </c>
      <c r="F149" s="6" t="s">
        <v>238</v>
      </c>
      <c r="G149" s="6" t="s">
        <v>383</v>
      </c>
      <c r="H149" s="7">
        <v>2</v>
      </c>
      <c r="I149" s="7">
        <v>2</v>
      </c>
      <c r="J149" s="7">
        <f t="shared" si="6"/>
        <v>0</v>
      </c>
      <c r="K149" s="7">
        <v>1550000</v>
      </c>
      <c r="L149" s="7">
        <f t="shared" si="7"/>
        <v>0</v>
      </c>
      <c r="M149" s="5" t="s">
        <v>22</v>
      </c>
      <c r="N149" s="6" t="str">
        <f t="shared" si="8"/>
        <v>Habis</v>
      </c>
      <c r="O149" s="5" t="s">
        <v>70</v>
      </c>
    </row>
    <row r="150" spans="1:15" x14ac:dyDescent="0.35">
      <c r="A150" s="2" t="s">
        <v>384</v>
      </c>
      <c r="B150" s="2" t="s">
        <v>165</v>
      </c>
      <c r="C150" s="2" t="s">
        <v>17</v>
      </c>
      <c r="D150" s="2" t="s">
        <v>18</v>
      </c>
      <c r="E150" s="2" t="s">
        <v>47</v>
      </c>
      <c r="F150" s="3" t="s">
        <v>333</v>
      </c>
      <c r="G150" s="3"/>
      <c r="H150" s="4">
        <v>50</v>
      </c>
      <c r="I150" s="4">
        <v>0</v>
      </c>
      <c r="J150" s="4">
        <f t="shared" si="6"/>
        <v>50</v>
      </c>
      <c r="K150" s="4">
        <v>35000</v>
      </c>
      <c r="L150" s="4">
        <f t="shared" si="7"/>
        <v>1750000</v>
      </c>
      <c r="M150" s="2" t="s">
        <v>30</v>
      </c>
      <c r="N150" s="3" t="str">
        <f t="shared" si="8"/>
        <v>Tersedia</v>
      </c>
      <c r="O150" s="2" t="s">
        <v>76</v>
      </c>
    </row>
    <row r="151" spans="1:15" x14ac:dyDescent="0.35">
      <c r="A151" s="5" t="s">
        <v>385</v>
      </c>
      <c r="B151" s="5" t="s">
        <v>206</v>
      </c>
      <c r="C151" s="5" t="s">
        <v>73</v>
      </c>
      <c r="D151" s="5" t="s">
        <v>74</v>
      </c>
      <c r="E151" s="5" t="s">
        <v>96</v>
      </c>
      <c r="F151" s="6" t="s">
        <v>42</v>
      </c>
      <c r="G151" s="6"/>
      <c r="H151" s="7">
        <v>20</v>
      </c>
      <c r="I151" s="7">
        <v>0</v>
      </c>
      <c r="J151" s="7">
        <f t="shared" si="6"/>
        <v>20</v>
      </c>
      <c r="K151" s="7">
        <v>45000</v>
      </c>
      <c r="L151" s="7">
        <f t="shared" si="7"/>
        <v>900000</v>
      </c>
      <c r="M151" s="5" t="s">
        <v>85</v>
      </c>
      <c r="N151" s="6" t="str">
        <f t="shared" si="8"/>
        <v>Tersedia</v>
      </c>
      <c r="O151" s="5" t="s">
        <v>44</v>
      </c>
    </row>
    <row r="152" spans="1:15" x14ac:dyDescent="0.35">
      <c r="A152" s="2" t="s">
        <v>386</v>
      </c>
      <c r="B152" s="2" t="s">
        <v>61</v>
      </c>
      <c r="C152" s="2" t="s">
        <v>62</v>
      </c>
      <c r="D152" s="2" t="s">
        <v>63</v>
      </c>
      <c r="E152" s="2" t="s">
        <v>47</v>
      </c>
      <c r="F152" s="3" t="s">
        <v>387</v>
      </c>
      <c r="G152" s="3" t="s">
        <v>388</v>
      </c>
      <c r="H152" s="4">
        <v>50</v>
      </c>
      <c r="I152" s="4">
        <v>11</v>
      </c>
      <c r="J152" s="4">
        <f t="shared" si="6"/>
        <v>39</v>
      </c>
      <c r="K152" s="4">
        <v>350000</v>
      </c>
      <c r="L152" s="4">
        <f t="shared" si="7"/>
        <v>13650000</v>
      </c>
      <c r="M152" s="2" t="s">
        <v>35</v>
      </c>
      <c r="N152" s="3" t="str">
        <f t="shared" si="8"/>
        <v>Tersedia</v>
      </c>
      <c r="O152" s="2" t="s">
        <v>76</v>
      </c>
    </row>
    <row r="153" spans="1:15" x14ac:dyDescent="0.35">
      <c r="A153" s="5" t="s">
        <v>389</v>
      </c>
      <c r="B153" s="5" t="s">
        <v>138</v>
      </c>
      <c r="C153" s="5" t="s">
        <v>62</v>
      </c>
      <c r="D153" s="5" t="s">
        <v>63</v>
      </c>
      <c r="E153" s="5" t="s">
        <v>68</v>
      </c>
      <c r="F153" s="6" t="s">
        <v>390</v>
      </c>
      <c r="G153" s="6" t="s">
        <v>57</v>
      </c>
      <c r="H153" s="7">
        <v>150</v>
      </c>
      <c r="I153" s="7">
        <v>79</v>
      </c>
      <c r="J153" s="7">
        <f t="shared" si="6"/>
        <v>71</v>
      </c>
      <c r="K153" s="7">
        <v>450000</v>
      </c>
      <c r="L153" s="7">
        <f t="shared" si="7"/>
        <v>31950000</v>
      </c>
      <c r="M153" s="5" t="s">
        <v>30</v>
      </c>
      <c r="N153" s="6" t="str">
        <f t="shared" si="8"/>
        <v>Tersedia</v>
      </c>
      <c r="O153" s="5" t="s">
        <v>86</v>
      </c>
    </row>
    <row r="154" spans="1:15" x14ac:dyDescent="0.35">
      <c r="A154" s="2" t="s">
        <v>369</v>
      </c>
      <c r="B154" s="2" t="s">
        <v>67</v>
      </c>
      <c r="C154" s="2" t="s">
        <v>39</v>
      </c>
      <c r="D154" s="2" t="s">
        <v>40</v>
      </c>
      <c r="E154" s="2" t="s">
        <v>19</v>
      </c>
      <c r="F154" s="3" t="s">
        <v>191</v>
      </c>
      <c r="G154" s="3" t="s">
        <v>391</v>
      </c>
      <c r="H154" s="4">
        <v>5</v>
      </c>
      <c r="I154" s="4">
        <v>1</v>
      </c>
      <c r="J154" s="4">
        <f t="shared" si="6"/>
        <v>4</v>
      </c>
      <c r="K154" s="4">
        <v>3800000</v>
      </c>
      <c r="L154" s="4">
        <f t="shared" si="7"/>
        <v>15200000</v>
      </c>
      <c r="M154" s="2" t="s">
        <v>35</v>
      </c>
      <c r="N154" s="3" t="str">
        <f t="shared" si="8"/>
        <v>Menipis</v>
      </c>
      <c r="O154" s="2" t="s">
        <v>59</v>
      </c>
    </row>
    <row r="155" spans="1:15" x14ac:dyDescent="0.35">
      <c r="A155" s="5" t="s">
        <v>392</v>
      </c>
      <c r="B155" s="5" t="s">
        <v>51</v>
      </c>
      <c r="C155" s="5" t="s">
        <v>17</v>
      </c>
      <c r="D155" s="5" t="s">
        <v>18</v>
      </c>
      <c r="E155" s="5" t="s">
        <v>19</v>
      </c>
      <c r="F155" s="6" t="s">
        <v>106</v>
      </c>
      <c r="G155" s="6" t="s">
        <v>233</v>
      </c>
      <c r="H155" s="7">
        <v>20</v>
      </c>
      <c r="I155" s="7">
        <v>8</v>
      </c>
      <c r="J155" s="7">
        <f t="shared" si="6"/>
        <v>12</v>
      </c>
      <c r="K155" s="7">
        <v>150000</v>
      </c>
      <c r="L155" s="7">
        <f t="shared" si="7"/>
        <v>1800000</v>
      </c>
      <c r="M155" s="5" t="s">
        <v>43</v>
      </c>
      <c r="N155" s="6" t="str">
        <f t="shared" si="8"/>
        <v>Tersedia</v>
      </c>
      <c r="O155" s="5" t="s">
        <v>31</v>
      </c>
    </row>
    <row r="156" spans="1:15" x14ac:dyDescent="0.35">
      <c r="A156" s="2" t="s">
        <v>205</v>
      </c>
      <c r="B156" s="2" t="s">
        <v>120</v>
      </c>
      <c r="C156" s="2" t="s">
        <v>73</v>
      </c>
      <c r="D156" s="2" t="s">
        <v>74</v>
      </c>
      <c r="E156" s="2" t="s">
        <v>34</v>
      </c>
      <c r="F156" s="3" t="s">
        <v>326</v>
      </c>
      <c r="G156" s="3" t="s">
        <v>393</v>
      </c>
      <c r="H156" s="4">
        <v>10</v>
      </c>
      <c r="I156" s="4">
        <v>10</v>
      </c>
      <c r="J156" s="4">
        <f t="shared" si="6"/>
        <v>0</v>
      </c>
      <c r="K156" s="4">
        <v>75000</v>
      </c>
      <c r="L156" s="4">
        <f t="shared" si="7"/>
        <v>0</v>
      </c>
      <c r="M156" s="2" t="s">
        <v>85</v>
      </c>
      <c r="N156" s="3" t="str">
        <f t="shared" si="8"/>
        <v>Habis</v>
      </c>
      <c r="O156" s="2" t="s">
        <v>23</v>
      </c>
    </row>
    <row r="157" spans="1:15" x14ac:dyDescent="0.35">
      <c r="A157" s="5" t="s">
        <v>394</v>
      </c>
      <c r="B157" s="5" t="s">
        <v>117</v>
      </c>
      <c r="C157" s="5" t="s">
        <v>81</v>
      </c>
      <c r="D157" s="5" t="s">
        <v>82</v>
      </c>
      <c r="E157" s="5" t="s">
        <v>151</v>
      </c>
      <c r="F157" s="6" t="s">
        <v>395</v>
      </c>
      <c r="G157" s="6" t="s">
        <v>396</v>
      </c>
      <c r="H157" s="7">
        <v>10</v>
      </c>
      <c r="I157" s="7">
        <v>7</v>
      </c>
      <c r="J157" s="7">
        <f t="shared" si="6"/>
        <v>3</v>
      </c>
      <c r="K157" s="7">
        <v>310000</v>
      </c>
      <c r="L157" s="7">
        <f t="shared" si="7"/>
        <v>930000</v>
      </c>
      <c r="M157" s="5" t="s">
        <v>43</v>
      </c>
      <c r="N157" s="6" t="str">
        <f t="shared" si="8"/>
        <v>Menipis</v>
      </c>
      <c r="O157" s="5" t="s">
        <v>76</v>
      </c>
    </row>
    <row r="158" spans="1:15" x14ac:dyDescent="0.35">
      <c r="A158" s="2" t="s">
        <v>306</v>
      </c>
      <c r="B158" s="2" t="s">
        <v>72</v>
      </c>
      <c r="C158" s="2" t="s">
        <v>73</v>
      </c>
      <c r="D158" s="2" t="s">
        <v>74</v>
      </c>
      <c r="E158" s="2" t="s">
        <v>34</v>
      </c>
      <c r="F158" s="3" t="s">
        <v>294</v>
      </c>
      <c r="G158" s="3" t="s">
        <v>365</v>
      </c>
      <c r="H158" s="4">
        <v>150</v>
      </c>
      <c r="I158" s="4">
        <v>132</v>
      </c>
      <c r="J158" s="4">
        <f t="shared" si="6"/>
        <v>18</v>
      </c>
      <c r="K158" s="4">
        <v>240000</v>
      </c>
      <c r="L158" s="4">
        <f t="shared" si="7"/>
        <v>4320000</v>
      </c>
      <c r="M158" s="2" t="s">
        <v>22</v>
      </c>
      <c r="N158" s="3" t="str">
        <f t="shared" si="8"/>
        <v>Tersedia</v>
      </c>
      <c r="O158" s="2" t="s">
        <v>36</v>
      </c>
    </row>
    <row r="159" spans="1:15" x14ac:dyDescent="0.35">
      <c r="A159" s="5" t="s">
        <v>295</v>
      </c>
      <c r="B159" s="5" t="s">
        <v>127</v>
      </c>
      <c r="C159" s="5" t="s">
        <v>39</v>
      </c>
      <c r="D159" s="5" t="s">
        <v>40</v>
      </c>
      <c r="E159" s="5" t="s">
        <v>34</v>
      </c>
      <c r="F159" s="6" t="s">
        <v>397</v>
      </c>
      <c r="G159" s="6"/>
      <c r="H159" s="7">
        <v>2</v>
      </c>
      <c r="I159" s="7">
        <v>0</v>
      </c>
      <c r="J159" s="7">
        <f t="shared" si="6"/>
        <v>2</v>
      </c>
      <c r="K159" s="7">
        <v>1550000</v>
      </c>
      <c r="L159" s="7">
        <f t="shared" si="7"/>
        <v>3100000</v>
      </c>
      <c r="M159" s="5" t="s">
        <v>22</v>
      </c>
      <c r="N159" s="6" t="str">
        <f t="shared" si="8"/>
        <v>Menipis</v>
      </c>
      <c r="O159" s="5" t="s">
        <v>76</v>
      </c>
    </row>
    <row r="160" spans="1:15" x14ac:dyDescent="0.35">
      <c r="A160" s="2" t="s">
        <v>398</v>
      </c>
      <c r="B160" s="2" t="s">
        <v>33</v>
      </c>
      <c r="C160" s="2" t="s">
        <v>26</v>
      </c>
      <c r="D160" s="2" t="s">
        <v>27</v>
      </c>
      <c r="E160" s="2" t="s">
        <v>151</v>
      </c>
      <c r="F160" s="3" t="s">
        <v>49</v>
      </c>
      <c r="G160" s="3" t="s">
        <v>399</v>
      </c>
      <c r="H160" s="4">
        <v>200</v>
      </c>
      <c r="I160" s="4">
        <v>180</v>
      </c>
      <c r="J160" s="4">
        <f t="shared" si="6"/>
        <v>20</v>
      </c>
      <c r="K160" s="4">
        <v>12000</v>
      </c>
      <c r="L160" s="4">
        <f t="shared" si="7"/>
        <v>240000</v>
      </c>
      <c r="M160" s="2" t="s">
        <v>35</v>
      </c>
      <c r="N160" s="3" t="str">
        <f t="shared" si="8"/>
        <v>Tersedia</v>
      </c>
      <c r="O160" s="2" t="s">
        <v>36</v>
      </c>
    </row>
    <row r="161" spans="1:15" x14ac:dyDescent="0.35">
      <c r="A161" s="5" t="s">
        <v>400</v>
      </c>
      <c r="B161" s="5" t="s">
        <v>51</v>
      </c>
      <c r="C161" s="5" t="s">
        <v>17</v>
      </c>
      <c r="D161" s="5" t="s">
        <v>18</v>
      </c>
      <c r="E161" s="5" t="s">
        <v>56</v>
      </c>
      <c r="F161" s="6" t="s">
        <v>83</v>
      </c>
      <c r="G161" s="6" t="s">
        <v>401</v>
      </c>
      <c r="H161" s="7">
        <v>200</v>
      </c>
      <c r="I161" s="7">
        <v>109</v>
      </c>
      <c r="J161" s="7">
        <f t="shared" si="6"/>
        <v>91</v>
      </c>
      <c r="K161" s="7">
        <v>150000</v>
      </c>
      <c r="L161" s="7">
        <f t="shared" si="7"/>
        <v>13650000</v>
      </c>
      <c r="M161" s="5" t="s">
        <v>35</v>
      </c>
      <c r="N161" s="6" t="str">
        <f t="shared" si="8"/>
        <v>Tersedia</v>
      </c>
      <c r="O161" s="5" t="s">
        <v>70</v>
      </c>
    </row>
    <row r="162" spans="1:15" x14ac:dyDescent="0.35">
      <c r="A162" s="2" t="s">
        <v>402</v>
      </c>
      <c r="B162" s="2" t="s">
        <v>165</v>
      </c>
      <c r="C162" s="2" t="s">
        <v>17</v>
      </c>
      <c r="D162" s="2" t="s">
        <v>18</v>
      </c>
      <c r="E162" s="2" t="s">
        <v>19</v>
      </c>
      <c r="F162" s="3" t="s">
        <v>403</v>
      </c>
      <c r="G162" s="3"/>
      <c r="H162" s="4">
        <v>20</v>
      </c>
      <c r="I162" s="4">
        <v>0</v>
      </c>
      <c r="J162" s="4">
        <f t="shared" si="6"/>
        <v>20</v>
      </c>
      <c r="K162" s="4">
        <v>35000</v>
      </c>
      <c r="L162" s="4">
        <f t="shared" si="7"/>
        <v>700000</v>
      </c>
      <c r="M162" s="2" t="s">
        <v>85</v>
      </c>
      <c r="N162" s="3" t="str">
        <f t="shared" si="8"/>
        <v>Tersedia</v>
      </c>
      <c r="O162" s="2" t="s">
        <v>86</v>
      </c>
    </row>
    <row r="163" spans="1:15" x14ac:dyDescent="0.35">
      <c r="A163" s="5" t="s">
        <v>221</v>
      </c>
      <c r="B163" s="5" t="s">
        <v>206</v>
      </c>
      <c r="C163" s="5" t="s">
        <v>73</v>
      </c>
      <c r="D163" s="5" t="s">
        <v>74</v>
      </c>
      <c r="E163" s="5" t="s">
        <v>151</v>
      </c>
      <c r="F163" s="6" t="s">
        <v>404</v>
      </c>
      <c r="G163" s="6" t="s">
        <v>405</v>
      </c>
      <c r="H163" s="7">
        <v>10</v>
      </c>
      <c r="I163" s="7">
        <v>7</v>
      </c>
      <c r="J163" s="7">
        <f t="shared" si="6"/>
        <v>3</v>
      </c>
      <c r="K163" s="7">
        <v>45000</v>
      </c>
      <c r="L163" s="7">
        <f t="shared" si="7"/>
        <v>135000</v>
      </c>
      <c r="M163" s="5" t="s">
        <v>22</v>
      </c>
      <c r="N163" s="6" t="str">
        <f t="shared" si="8"/>
        <v>Menipis</v>
      </c>
      <c r="O163" s="5" t="s">
        <v>23</v>
      </c>
    </row>
    <row r="164" spans="1:15" x14ac:dyDescent="0.35">
      <c r="A164" s="2" t="s">
        <v>246</v>
      </c>
      <c r="B164" s="2" t="s">
        <v>80</v>
      </c>
      <c r="C164" s="2" t="s">
        <v>81</v>
      </c>
      <c r="D164" s="2" t="s">
        <v>82</v>
      </c>
      <c r="E164" s="2" t="s">
        <v>151</v>
      </c>
      <c r="F164" s="3" t="s">
        <v>371</v>
      </c>
      <c r="G164" s="3" t="s">
        <v>276</v>
      </c>
      <c r="H164" s="4">
        <v>10</v>
      </c>
      <c r="I164" s="4">
        <v>3</v>
      </c>
      <c r="J164" s="4">
        <f t="shared" si="6"/>
        <v>7</v>
      </c>
      <c r="K164" s="4">
        <v>280000</v>
      </c>
      <c r="L164" s="4">
        <f t="shared" si="7"/>
        <v>1960000</v>
      </c>
      <c r="M164" s="2" t="s">
        <v>30</v>
      </c>
      <c r="N164" s="3" t="str">
        <f t="shared" si="8"/>
        <v>Tersedia</v>
      </c>
      <c r="O164" s="2" t="s">
        <v>76</v>
      </c>
    </row>
    <row r="165" spans="1:15" x14ac:dyDescent="0.35">
      <c r="A165" s="5" t="s">
        <v>406</v>
      </c>
      <c r="B165" s="5" t="s">
        <v>88</v>
      </c>
      <c r="C165" s="5" t="s">
        <v>73</v>
      </c>
      <c r="D165" s="5" t="s">
        <v>74</v>
      </c>
      <c r="E165" s="5" t="s">
        <v>56</v>
      </c>
      <c r="F165" s="6" t="s">
        <v>407</v>
      </c>
      <c r="G165" s="6" t="s">
        <v>408</v>
      </c>
      <c r="H165" s="7">
        <v>200</v>
      </c>
      <c r="I165" s="7">
        <v>154</v>
      </c>
      <c r="J165" s="7">
        <f t="shared" si="6"/>
        <v>46</v>
      </c>
      <c r="K165" s="7">
        <v>650000</v>
      </c>
      <c r="L165" s="7">
        <f t="shared" si="7"/>
        <v>29900000</v>
      </c>
      <c r="M165" s="5" t="s">
        <v>30</v>
      </c>
      <c r="N165" s="6" t="str">
        <f t="shared" si="8"/>
        <v>Tersedia</v>
      </c>
      <c r="O165" s="5" t="s">
        <v>36</v>
      </c>
    </row>
    <row r="166" spans="1:15" x14ac:dyDescent="0.35">
      <c r="A166" s="2" t="s">
        <v>409</v>
      </c>
      <c r="B166" s="2" t="s">
        <v>51</v>
      </c>
      <c r="C166" s="2" t="s">
        <v>17</v>
      </c>
      <c r="D166" s="2" t="s">
        <v>18</v>
      </c>
      <c r="E166" s="2" t="s">
        <v>68</v>
      </c>
      <c r="F166" s="3" t="s">
        <v>146</v>
      </c>
      <c r="G166" s="3" t="s">
        <v>269</v>
      </c>
      <c r="H166" s="4">
        <v>50</v>
      </c>
      <c r="I166" s="4">
        <v>40</v>
      </c>
      <c r="J166" s="4">
        <f t="shared" si="6"/>
        <v>10</v>
      </c>
      <c r="K166" s="4">
        <v>150000</v>
      </c>
      <c r="L166" s="4">
        <f t="shared" si="7"/>
        <v>1500000</v>
      </c>
      <c r="M166" s="2" t="s">
        <v>85</v>
      </c>
      <c r="N166" s="3" t="str">
        <f t="shared" si="8"/>
        <v>Tersedia</v>
      </c>
      <c r="O166" s="2" t="s">
        <v>36</v>
      </c>
    </row>
    <row r="167" spans="1:15" x14ac:dyDescent="0.35">
      <c r="A167" s="5" t="s">
        <v>410</v>
      </c>
      <c r="B167" s="5" t="s">
        <v>38</v>
      </c>
      <c r="C167" s="5" t="s">
        <v>39</v>
      </c>
      <c r="D167" s="5" t="s">
        <v>40</v>
      </c>
      <c r="E167" s="5" t="s">
        <v>47</v>
      </c>
      <c r="F167" s="6" t="s">
        <v>97</v>
      </c>
      <c r="G167" s="6" t="s">
        <v>411</v>
      </c>
      <c r="H167" s="7">
        <v>2</v>
      </c>
      <c r="I167" s="7">
        <v>1</v>
      </c>
      <c r="J167" s="7">
        <f t="shared" si="6"/>
        <v>1</v>
      </c>
      <c r="K167" s="7">
        <v>4500000</v>
      </c>
      <c r="L167" s="7">
        <f t="shared" si="7"/>
        <v>4500000</v>
      </c>
      <c r="M167" s="5" t="s">
        <v>22</v>
      </c>
      <c r="N167" s="6" t="str">
        <f t="shared" si="8"/>
        <v>Menipis</v>
      </c>
      <c r="O167" s="5" t="s">
        <v>59</v>
      </c>
    </row>
    <row r="168" spans="1:15" x14ac:dyDescent="0.35">
      <c r="A168" s="2" t="s">
        <v>412</v>
      </c>
      <c r="B168" s="2" t="s">
        <v>144</v>
      </c>
      <c r="C168" s="2" t="s">
        <v>39</v>
      </c>
      <c r="D168" s="2" t="s">
        <v>40</v>
      </c>
      <c r="E168" s="2" t="s">
        <v>52</v>
      </c>
      <c r="F168" s="3" t="s">
        <v>413</v>
      </c>
      <c r="G168" s="3"/>
      <c r="H168" s="4">
        <v>10</v>
      </c>
      <c r="I168" s="4">
        <v>0</v>
      </c>
      <c r="J168" s="4">
        <f t="shared" si="6"/>
        <v>10</v>
      </c>
      <c r="K168" s="4">
        <v>2450000</v>
      </c>
      <c r="L168" s="4">
        <f t="shared" si="7"/>
        <v>24500000</v>
      </c>
      <c r="M168" s="2" t="s">
        <v>43</v>
      </c>
      <c r="N168" s="3" t="str">
        <f t="shared" si="8"/>
        <v>Tersedia</v>
      </c>
      <c r="O168" s="2" t="s">
        <v>76</v>
      </c>
    </row>
    <row r="169" spans="1:15" x14ac:dyDescent="0.35">
      <c r="A169" s="5" t="s">
        <v>260</v>
      </c>
      <c r="B169" s="5" t="s">
        <v>80</v>
      </c>
      <c r="C169" s="5" t="s">
        <v>81</v>
      </c>
      <c r="D169" s="5" t="s">
        <v>82</v>
      </c>
      <c r="E169" s="5" t="s">
        <v>52</v>
      </c>
      <c r="F169" s="6" t="s">
        <v>360</v>
      </c>
      <c r="G169" s="6" t="s">
        <v>222</v>
      </c>
      <c r="H169" s="7">
        <v>100</v>
      </c>
      <c r="I169" s="7">
        <v>52</v>
      </c>
      <c r="J169" s="7">
        <f t="shared" si="6"/>
        <v>48</v>
      </c>
      <c r="K169" s="7">
        <v>280000</v>
      </c>
      <c r="L169" s="7">
        <f t="shared" si="7"/>
        <v>13440000</v>
      </c>
      <c r="M169" s="5" t="s">
        <v>22</v>
      </c>
      <c r="N169" s="6" t="str">
        <f t="shared" si="8"/>
        <v>Tersedia</v>
      </c>
      <c r="O169" s="5" t="s">
        <v>23</v>
      </c>
    </row>
    <row r="170" spans="1:15" x14ac:dyDescent="0.35">
      <c r="A170" s="2" t="s">
        <v>192</v>
      </c>
      <c r="B170" s="2" t="s">
        <v>100</v>
      </c>
      <c r="C170" s="2" t="s">
        <v>81</v>
      </c>
      <c r="D170" s="2" t="s">
        <v>82</v>
      </c>
      <c r="E170" s="2" t="s">
        <v>19</v>
      </c>
      <c r="F170" s="3" t="s">
        <v>414</v>
      </c>
      <c r="G170" s="3" t="s">
        <v>227</v>
      </c>
      <c r="H170" s="4">
        <v>150</v>
      </c>
      <c r="I170" s="4">
        <v>101</v>
      </c>
      <c r="J170" s="4">
        <f t="shared" si="6"/>
        <v>49</v>
      </c>
      <c r="K170" s="4">
        <v>220000</v>
      </c>
      <c r="L170" s="4">
        <f t="shared" si="7"/>
        <v>10780000</v>
      </c>
      <c r="M170" s="2" t="s">
        <v>43</v>
      </c>
      <c r="N170" s="3" t="str">
        <f t="shared" si="8"/>
        <v>Tersedia</v>
      </c>
      <c r="O170" s="2" t="s">
        <v>86</v>
      </c>
    </row>
    <row r="171" spans="1:15" x14ac:dyDescent="0.35">
      <c r="A171" s="5" t="s">
        <v>415</v>
      </c>
      <c r="B171" s="5" t="s">
        <v>61</v>
      </c>
      <c r="C171" s="5" t="s">
        <v>62</v>
      </c>
      <c r="D171" s="5" t="s">
        <v>63</v>
      </c>
      <c r="E171" s="5" t="s">
        <v>56</v>
      </c>
      <c r="F171" s="6" t="s">
        <v>416</v>
      </c>
      <c r="G171" s="6"/>
      <c r="H171" s="7">
        <v>150</v>
      </c>
      <c r="I171" s="7">
        <v>0</v>
      </c>
      <c r="J171" s="7">
        <f t="shared" si="6"/>
        <v>150</v>
      </c>
      <c r="K171" s="7">
        <v>350000</v>
      </c>
      <c r="L171" s="7">
        <f t="shared" si="7"/>
        <v>52500000</v>
      </c>
      <c r="M171" s="5" t="s">
        <v>43</v>
      </c>
      <c r="N171" s="6" t="str">
        <f t="shared" si="8"/>
        <v>Tersedia</v>
      </c>
      <c r="O171" s="5" t="s">
        <v>23</v>
      </c>
    </row>
    <row r="172" spans="1:15" x14ac:dyDescent="0.35">
      <c r="A172" s="2" t="s">
        <v>417</v>
      </c>
      <c r="B172" s="2" t="s">
        <v>123</v>
      </c>
      <c r="C172" s="2" t="s">
        <v>81</v>
      </c>
      <c r="D172" s="2" t="s">
        <v>82</v>
      </c>
      <c r="E172" s="2" t="s">
        <v>34</v>
      </c>
      <c r="F172" s="3" t="s">
        <v>388</v>
      </c>
      <c r="G172" s="3" t="s">
        <v>418</v>
      </c>
      <c r="H172" s="4">
        <v>200</v>
      </c>
      <c r="I172" s="4">
        <v>154</v>
      </c>
      <c r="J172" s="4">
        <f t="shared" si="6"/>
        <v>46</v>
      </c>
      <c r="K172" s="4">
        <v>1750000</v>
      </c>
      <c r="L172" s="4">
        <f t="shared" si="7"/>
        <v>80500000</v>
      </c>
      <c r="M172" s="2" t="s">
        <v>43</v>
      </c>
      <c r="N172" s="3" t="str">
        <f t="shared" si="8"/>
        <v>Tersedia</v>
      </c>
      <c r="O172" s="2" t="s">
        <v>70</v>
      </c>
    </row>
    <row r="173" spans="1:15" x14ac:dyDescent="0.35">
      <c r="A173" s="5" t="s">
        <v>419</v>
      </c>
      <c r="B173" s="5" t="s">
        <v>61</v>
      </c>
      <c r="C173" s="5" t="s">
        <v>62</v>
      </c>
      <c r="D173" s="5" t="s">
        <v>63</v>
      </c>
      <c r="E173" s="5" t="s">
        <v>34</v>
      </c>
      <c r="F173" s="6" t="s">
        <v>170</v>
      </c>
      <c r="G173" s="6" t="s">
        <v>171</v>
      </c>
      <c r="H173" s="7">
        <v>100</v>
      </c>
      <c r="I173" s="7">
        <v>6</v>
      </c>
      <c r="J173" s="7">
        <f t="shared" si="6"/>
        <v>94</v>
      </c>
      <c r="K173" s="7">
        <v>350000</v>
      </c>
      <c r="L173" s="7">
        <f t="shared" si="7"/>
        <v>32900000</v>
      </c>
      <c r="M173" s="5" t="s">
        <v>43</v>
      </c>
      <c r="N173" s="6" t="str">
        <f t="shared" si="8"/>
        <v>Tersedia</v>
      </c>
      <c r="O173" s="5" t="s">
        <v>31</v>
      </c>
    </row>
    <row r="174" spans="1:15" x14ac:dyDescent="0.35">
      <c r="A174" s="2" t="s">
        <v>420</v>
      </c>
      <c r="B174" s="2" t="s">
        <v>16</v>
      </c>
      <c r="C174" s="2" t="s">
        <v>17</v>
      </c>
      <c r="D174" s="2" t="s">
        <v>18</v>
      </c>
      <c r="E174" s="2" t="s">
        <v>52</v>
      </c>
      <c r="F174" s="3" t="s">
        <v>197</v>
      </c>
      <c r="G174" s="3" t="s">
        <v>20</v>
      </c>
      <c r="H174" s="4">
        <v>20</v>
      </c>
      <c r="I174" s="4">
        <v>10</v>
      </c>
      <c r="J174" s="4">
        <f t="shared" si="6"/>
        <v>10</v>
      </c>
      <c r="K174" s="4">
        <v>45000</v>
      </c>
      <c r="L174" s="4">
        <f t="shared" si="7"/>
        <v>450000</v>
      </c>
      <c r="M174" s="2" t="s">
        <v>43</v>
      </c>
      <c r="N174" s="3" t="str">
        <f t="shared" si="8"/>
        <v>Tersedia</v>
      </c>
      <c r="O174" s="2" t="s">
        <v>44</v>
      </c>
    </row>
    <row r="175" spans="1:15" x14ac:dyDescent="0.35">
      <c r="A175" s="5" t="s">
        <v>421</v>
      </c>
      <c r="B175" s="5" t="s">
        <v>127</v>
      </c>
      <c r="C175" s="5" t="s">
        <v>39</v>
      </c>
      <c r="D175" s="5" t="s">
        <v>40</v>
      </c>
      <c r="E175" s="5" t="s">
        <v>52</v>
      </c>
      <c r="F175" s="6" t="s">
        <v>383</v>
      </c>
      <c r="G175" s="6" t="s">
        <v>422</v>
      </c>
      <c r="H175" s="7">
        <v>2</v>
      </c>
      <c r="I175" s="7">
        <v>1</v>
      </c>
      <c r="J175" s="7">
        <f t="shared" si="6"/>
        <v>1</v>
      </c>
      <c r="K175" s="7">
        <v>1550000</v>
      </c>
      <c r="L175" s="7">
        <f t="shared" si="7"/>
        <v>1550000</v>
      </c>
      <c r="M175" s="5" t="s">
        <v>30</v>
      </c>
      <c r="N175" s="6" t="str">
        <f t="shared" si="8"/>
        <v>Menipis</v>
      </c>
      <c r="O175" s="5" t="s">
        <v>86</v>
      </c>
    </row>
    <row r="176" spans="1:15" x14ac:dyDescent="0.35">
      <c r="A176" s="2" t="s">
        <v>423</v>
      </c>
      <c r="B176" s="2" t="s">
        <v>95</v>
      </c>
      <c r="C176" s="2" t="s">
        <v>62</v>
      </c>
      <c r="D176" s="2" t="s">
        <v>63</v>
      </c>
      <c r="E176" s="2" t="s">
        <v>64</v>
      </c>
      <c r="F176" s="3" t="s">
        <v>48</v>
      </c>
      <c r="G176" s="3" t="s">
        <v>424</v>
      </c>
      <c r="H176" s="4">
        <v>100</v>
      </c>
      <c r="I176" s="4">
        <v>88</v>
      </c>
      <c r="J176" s="4">
        <f t="shared" si="6"/>
        <v>12</v>
      </c>
      <c r="K176" s="4">
        <v>850000</v>
      </c>
      <c r="L176" s="4">
        <f t="shared" si="7"/>
        <v>10200000</v>
      </c>
      <c r="M176" s="2" t="s">
        <v>85</v>
      </c>
      <c r="N176" s="3" t="str">
        <f t="shared" si="8"/>
        <v>Tersedia</v>
      </c>
      <c r="O176" s="2" t="s">
        <v>59</v>
      </c>
    </row>
    <row r="177" spans="1:15" x14ac:dyDescent="0.35">
      <c r="A177" s="5" t="s">
        <v>284</v>
      </c>
      <c r="B177" s="5" t="s">
        <v>33</v>
      </c>
      <c r="C177" s="5" t="s">
        <v>26</v>
      </c>
      <c r="D177" s="5" t="s">
        <v>27</v>
      </c>
      <c r="E177" s="5" t="s">
        <v>101</v>
      </c>
      <c r="F177" s="6" t="s">
        <v>425</v>
      </c>
      <c r="G177" s="6"/>
      <c r="H177" s="7">
        <v>10</v>
      </c>
      <c r="I177" s="7">
        <v>0</v>
      </c>
      <c r="J177" s="7">
        <f t="shared" si="6"/>
        <v>10</v>
      </c>
      <c r="K177" s="7">
        <v>12000</v>
      </c>
      <c r="L177" s="7">
        <f t="shared" si="7"/>
        <v>120000</v>
      </c>
      <c r="M177" s="5" t="s">
        <v>85</v>
      </c>
      <c r="N177" s="6" t="str">
        <f t="shared" si="8"/>
        <v>Tersedia</v>
      </c>
      <c r="O177" s="5" t="s">
        <v>70</v>
      </c>
    </row>
    <row r="178" spans="1:15" x14ac:dyDescent="0.35">
      <c r="A178" s="2" t="s">
        <v>426</v>
      </c>
      <c r="B178" s="2" t="s">
        <v>206</v>
      </c>
      <c r="C178" s="2" t="s">
        <v>73</v>
      </c>
      <c r="D178" s="2" t="s">
        <v>74</v>
      </c>
      <c r="E178" s="2" t="s">
        <v>68</v>
      </c>
      <c r="F178" s="3" t="s">
        <v>427</v>
      </c>
      <c r="G178" s="3" t="s">
        <v>428</v>
      </c>
      <c r="H178" s="4">
        <v>10</v>
      </c>
      <c r="I178" s="4">
        <v>9</v>
      </c>
      <c r="J178" s="4">
        <f t="shared" si="6"/>
        <v>1</v>
      </c>
      <c r="K178" s="4">
        <v>45000</v>
      </c>
      <c r="L178" s="4">
        <f t="shared" si="7"/>
        <v>45000</v>
      </c>
      <c r="M178" s="2" t="s">
        <v>22</v>
      </c>
      <c r="N178" s="3" t="str">
        <f t="shared" si="8"/>
        <v>Menipis</v>
      </c>
      <c r="O178" s="2" t="s">
        <v>36</v>
      </c>
    </row>
    <row r="179" spans="1:15" x14ac:dyDescent="0.35">
      <c r="A179" s="5" t="s">
        <v>141</v>
      </c>
      <c r="B179" s="5" t="s">
        <v>114</v>
      </c>
      <c r="C179" s="5" t="s">
        <v>17</v>
      </c>
      <c r="D179" s="5" t="s">
        <v>18</v>
      </c>
      <c r="E179" s="5" t="s">
        <v>151</v>
      </c>
      <c r="F179" s="6" t="s">
        <v>102</v>
      </c>
      <c r="G179" s="6" t="s">
        <v>429</v>
      </c>
      <c r="H179" s="7">
        <v>50</v>
      </c>
      <c r="I179" s="7">
        <v>33</v>
      </c>
      <c r="J179" s="7">
        <f t="shared" si="6"/>
        <v>17</v>
      </c>
      <c r="K179" s="7">
        <v>85000</v>
      </c>
      <c r="L179" s="7">
        <f t="shared" si="7"/>
        <v>1445000</v>
      </c>
      <c r="M179" s="5" t="s">
        <v>22</v>
      </c>
      <c r="N179" s="6" t="str">
        <f t="shared" si="8"/>
        <v>Tersedia</v>
      </c>
      <c r="O179" s="5" t="s">
        <v>23</v>
      </c>
    </row>
    <row r="180" spans="1:15" x14ac:dyDescent="0.35">
      <c r="A180" s="2" t="s">
        <v>430</v>
      </c>
      <c r="B180" s="2" t="s">
        <v>120</v>
      </c>
      <c r="C180" s="2" t="s">
        <v>73</v>
      </c>
      <c r="D180" s="2" t="s">
        <v>74</v>
      </c>
      <c r="E180" s="2" t="s">
        <v>68</v>
      </c>
      <c r="F180" s="3" t="s">
        <v>289</v>
      </c>
      <c r="G180" s="3"/>
      <c r="H180" s="4">
        <v>10</v>
      </c>
      <c r="I180" s="4">
        <v>0</v>
      </c>
      <c r="J180" s="4">
        <f t="shared" si="6"/>
        <v>10</v>
      </c>
      <c r="K180" s="4">
        <v>75000</v>
      </c>
      <c r="L180" s="4">
        <f t="shared" si="7"/>
        <v>750000</v>
      </c>
      <c r="M180" s="2" t="s">
        <v>43</v>
      </c>
      <c r="N180" s="3" t="str">
        <f t="shared" si="8"/>
        <v>Tersedia</v>
      </c>
      <c r="O180" s="2" t="s">
        <v>23</v>
      </c>
    </row>
    <row r="181" spans="1:15" x14ac:dyDescent="0.35">
      <c r="A181" s="5" t="s">
        <v>431</v>
      </c>
      <c r="B181" s="5" t="s">
        <v>184</v>
      </c>
      <c r="C181" s="5" t="s">
        <v>62</v>
      </c>
      <c r="D181" s="5" t="s">
        <v>63</v>
      </c>
      <c r="E181" s="5" t="s">
        <v>47</v>
      </c>
      <c r="F181" s="6" t="s">
        <v>171</v>
      </c>
      <c r="G181" s="6" t="s">
        <v>432</v>
      </c>
      <c r="H181" s="7">
        <v>150</v>
      </c>
      <c r="I181" s="7">
        <v>18</v>
      </c>
      <c r="J181" s="7">
        <f t="shared" si="6"/>
        <v>132</v>
      </c>
      <c r="K181" s="7">
        <v>1250000</v>
      </c>
      <c r="L181" s="7">
        <f t="shared" si="7"/>
        <v>165000000</v>
      </c>
      <c r="M181" s="5" t="s">
        <v>43</v>
      </c>
      <c r="N181" s="6" t="str">
        <f t="shared" si="8"/>
        <v>Tersedia</v>
      </c>
      <c r="O181" s="5" t="s">
        <v>86</v>
      </c>
    </row>
    <row r="182" spans="1:15" x14ac:dyDescent="0.35">
      <c r="A182" s="2" t="s">
        <v>433</v>
      </c>
      <c r="B182" s="2" t="s">
        <v>117</v>
      </c>
      <c r="C182" s="2" t="s">
        <v>81</v>
      </c>
      <c r="D182" s="2" t="s">
        <v>82</v>
      </c>
      <c r="E182" s="2" t="s">
        <v>96</v>
      </c>
      <c r="F182" s="3" t="s">
        <v>273</v>
      </c>
      <c r="G182" s="3" t="s">
        <v>269</v>
      </c>
      <c r="H182" s="4">
        <v>20</v>
      </c>
      <c r="I182" s="4">
        <v>19</v>
      </c>
      <c r="J182" s="4">
        <f t="shared" si="6"/>
        <v>1</v>
      </c>
      <c r="K182" s="4">
        <v>310000</v>
      </c>
      <c r="L182" s="4">
        <f t="shared" si="7"/>
        <v>310000</v>
      </c>
      <c r="M182" s="2" t="s">
        <v>22</v>
      </c>
      <c r="N182" s="3" t="str">
        <f t="shared" si="8"/>
        <v>Menipis</v>
      </c>
      <c r="O182" s="2" t="s">
        <v>70</v>
      </c>
    </row>
    <row r="183" spans="1:15" x14ac:dyDescent="0.35">
      <c r="A183" s="5" t="s">
        <v>434</v>
      </c>
      <c r="B183" s="5" t="s">
        <v>33</v>
      </c>
      <c r="C183" s="5" t="s">
        <v>26</v>
      </c>
      <c r="D183" s="5" t="s">
        <v>27</v>
      </c>
      <c r="E183" s="5" t="s">
        <v>56</v>
      </c>
      <c r="F183" s="6" t="s">
        <v>193</v>
      </c>
      <c r="G183" s="6" t="s">
        <v>102</v>
      </c>
      <c r="H183" s="7">
        <v>10</v>
      </c>
      <c r="I183" s="7">
        <v>7</v>
      </c>
      <c r="J183" s="7">
        <f t="shared" si="6"/>
        <v>3</v>
      </c>
      <c r="K183" s="7">
        <v>12000</v>
      </c>
      <c r="L183" s="7">
        <f t="shared" si="7"/>
        <v>36000</v>
      </c>
      <c r="M183" s="5" t="s">
        <v>35</v>
      </c>
      <c r="N183" s="6" t="str">
        <f t="shared" si="8"/>
        <v>Menipis</v>
      </c>
      <c r="O183" s="5" t="s">
        <v>76</v>
      </c>
    </row>
    <row r="184" spans="1:15" x14ac:dyDescent="0.35">
      <c r="A184" s="2" t="s">
        <v>435</v>
      </c>
      <c r="B184" s="2" t="s">
        <v>46</v>
      </c>
      <c r="C184" s="2" t="s">
        <v>26</v>
      </c>
      <c r="D184" s="2" t="s">
        <v>27</v>
      </c>
      <c r="E184" s="2" t="s">
        <v>96</v>
      </c>
      <c r="F184" s="3" t="s">
        <v>248</v>
      </c>
      <c r="G184" s="3" t="s">
        <v>436</v>
      </c>
      <c r="H184" s="4">
        <v>150</v>
      </c>
      <c r="I184" s="4">
        <v>132</v>
      </c>
      <c r="J184" s="4">
        <f t="shared" si="6"/>
        <v>18</v>
      </c>
      <c r="K184" s="4">
        <v>35000</v>
      </c>
      <c r="L184" s="4">
        <f t="shared" si="7"/>
        <v>630000</v>
      </c>
      <c r="M184" s="2" t="s">
        <v>22</v>
      </c>
      <c r="N184" s="3" t="str">
        <f t="shared" si="8"/>
        <v>Tersedia</v>
      </c>
      <c r="O184" s="2" t="s">
        <v>59</v>
      </c>
    </row>
    <row r="185" spans="1:15" x14ac:dyDescent="0.35">
      <c r="A185" s="5" t="s">
        <v>437</v>
      </c>
      <c r="B185" s="5" t="s">
        <v>165</v>
      </c>
      <c r="C185" s="5" t="s">
        <v>17</v>
      </c>
      <c r="D185" s="5" t="s">
        <v>18</v>
      </c>
      <c r="E185" s="5" t="s">
        <v>19</v>
      </c>
      <c r="F185" s="6" t="s">
        <v>355</v>
      </c>
      <c r="G185" s="6" t="s">
        <v>317</v>
      </c>
      <c r="H185" s="7">
        <v>100</v>
      </c>
      <c r="I185" s="7">
        <v>29</v>
      </c>
      <c r="J185" s="7">
        <f t="shared" si="6"/>
        <v>71</v>
      </c>
      <c r="K185" s="7">
        <v>35000</v>
      </c>
      <c r="L185" s="7">
        <f t="shared" si="7"/>
        <v>2485000</v>
      </c>
      <c r="M185" s="5" t="s">
        <v>85</v>
      </c>
      <c r="N185" s="6" t="str">
        <f t="shared" si="8"/>
        <v>Tersedia</v>
      </c>
      <c r="O185" s="5" t="s">
        <v>44</v>
      </c>
    </row>
    <row r="186" spans="1:15" x14ac:dyDescent="0.35">
      <c r="A186" s="2" t="s">
        <v>438</v>
      </c>
      <c r="B186" s="2" t="s">
        <v>114</v>
      </c>
      <c r="C186" s="2" t="s">
        <v>17</v>
      </c>
      <c r="D186" s="2" t="s">
        <v>18</v>
      </c>
      <c r="E186" s="2" t="s">
        <v>68</v>
      </c>
      <c r="F186" s="3" t="s">
        <v>439</v>
      </c>
      <c r="G186" s="3" t="s">
        <v>440</v>
      </c>
      <c r="H186" s="4">
        <v>200</v>
      </c>
      <c r="I186" s="4">
        <v>145</v>
      </c>
      <c r="J186" s="4">
        <f t="shared" si="6"/>
        <v>55</v>
      </c>
      <c r="K186" s="4">
        <v>85000</v>
      </c>
      <c r="L186" s="4">
        <f t="shared" si="7"/>
        <v>4675000</v>
      </c>
      <c r="M186" s="2" t="s">
        <v>43</v>
      </c>
      <c r="N186" s="3" t="str">
        <f t="shared" si="8"/>
        <v>Tersedia</v>
      </c>
      <c r="O186" s="2" t="s">
        <v>36</v>
      </c>
    </row>
    <row r="187" spans="1:15" x14ac:dyDescent="0.35">
      <c r="A187" s="5" t="s">
        <v>441</v>
      </c>
      <c r="B187" s="5" t="s">
        <v>88</v>
      </c>
      <c r="C187" s="5" t="s">
        <v>73</v>
      </c>
      <c r="D187" s="5" t="s">
        <v>74</v>
      </c>
      <c r="E187" s="5" t="s">
        <v>101</v>
      </c>
      <c r="F187" s="6" t="s">
        <v>229</v>
      </c>
      <c r="G187" s="6" t="s">
        <v>172</v>
      </c>
      <c r="H187" s="7">
        <v>50</v>
      </c>
      <c r="I187" s="7">
        <v>28</v>
      </c>
      <c r="J187" s="7">
        <f t="shared" si="6"/>
        <v>22</v>
      </c>
      <c r="K187" s="7">
        <v>650000</v>
      </c>
      <c r="L187" s="7">
        <f t="shared" si="7"/>
        <v>14300000</v>
      </c>
      <c r="M187" s="5" t="s">
        <v>30</v>
      </c>
      <c r="N187" s="6" t="str">
        <f t="shared" si="8"/>
        <v>Tersedia</v>
      </c>
      <c r="O187" s="5" t="s">
        <v>86</v>
      </c>
    </row>
    <row r="188" spans="1:15" x14ac:dyDescent="0.35">
      <c r="A188" s="2" t="s">
        <v>442</v>
      </c>
      <c r="B188" s="2" t="s">
        <v>117</v>
      </c>
      <c r="C188" s="2" t="s">
        <v>81</v>
      </c>
      <c r="D188" s="2" t="s">
        <v>82</v>
      </c>
      <c r="E188" s="2" t="s">
        <v>34</v>
      </c>
      <c r="F188" s="3" t="s">
        <v>351</v>
      </c>
      <c r="G188" s="3" t="s">
        <v>78</v>
      </c>
      <c r="H188" s="4">
        <v>20</v>
      </c>
      <c r="I188" s="4">
        <v>14</v>
      </c>
      <c r="J188" s="4">
        <f t="shared" si="6"/>
        <v>6</v>
      </c>
      <c r="K188" s="4">
        <v>310000</v>
      </c>
      <c r="L188" s="4">
        <f t="shared" si="7"/>
        <v>1860000</v>
      </c>
      <c r="M188" s="2" t="s">
        <v>22</v>
      </c>
      <c r="N188" s="3" t="str">
        <f t="shared" si="8"/>
        <v>Tersedia</v>
      </c>
      <c r="O188" s="2" t="s">
        <v>23</v>
      </c>
    </row>
    <row r="189" spans="1:15" x14ac:dyDescent="0.35">
      <c r="A189" s="5" t="s">
        <v>443</v>
      </c>
      <c r="B189" s="5" t="s">
        <v>150</v>
      </c>
      <c r="C189" s="5" t="s">
        <v>81</v>
      </c>
      <c r="D189" s="5" t="s">
        <v>82</v>
      </c>
      <c r="E189" s="5" t="s">
        <v>19</v>
      </c>
      <c r="F189" s="6" t="s">
        <v>444</v>
      </c>
      <c r="G189" s="6" t="s">
        <v>152</v>
      </c>
      <c r="H189" s="7">
        <v>10</v>
      </c>
      <c r="I189" s="7">
        <v>7</v>
      </c>
      <c r="J189" s="7">
        <f t="shared" si="6"/>
        <v>3</v>
      </c>
      <c r="K189" s="7">
        <v>85000</v>
      </c>
      <c r="L189" s="7">
        <f t="shared" si="7"/>
        <v>255000</v>
      </c>
      <c r="M189" s="5" t="s">
        <v>35</v>
      </c>
      <c r="N189" s="6" t="str">
        <f t="shared" si="8"/>
        <v>Menipis</v>
      </c>
      <c r="O189" s="5" t="s">
        <v>31</v>
      </c>
    </row>
    <row r="190" spans="1:15" x14ac:dyDescent="0.35">
      <c r="A190" s="2" t="s">
        <v>445</v>
      </c>
      <c r="B190" s="2" t="s">
        <v>108</v>
      </c>
      <c r="C190" s="2" t="s">
        <v>62</v>
      </c>
      <c r="D190" s="2" t="s">
        <v>63</v>
      </c>
      <c r="E190" s="2" t="s">
        <v>64</v>
      </c>
      <c r="F190" s="3" t="s">
        <v>244</v>
      </c>
      <c r="G190" s="3"/>
      <c r="H190" s="4">
        <v>20</v>
      </c>
      <c r="I190" s="4">
        <v>0</v>
      </c>
      <c r="J190" s="4">
        <f t="shared" si="6"/>
        <v>20</v>
      </c>
      <c r="K190" s="4">
        <v>650000</v>
      </c>
      <c r="L190" s="4">
        <f t="shared" si="7"/>
        <v>13000000</v>
      </c>
      <c r="M190" s="2" t="s">
        <v>22</v>
      </c>
      <c r="N190" s="3" t="str">
        <f t="shared" si="8"/>
        <v>Tersedia</v>
      </c>
      <c r="O190" s="2" t="s">
        <v>76</v>
      </c>
    </row>
    <row r="191" spans="1:15" x14ac:dyDescent="0.35">
      <c r="A191" s="5" t="s">
        <v>446</v>
      </c>
      <c r="B191" s="5" t="s">
        <v>55</v>
      </c>
      <c r="C191" s="5" t="s">
        <v>39</v>
      </c>
      <c r="D191" s="5" t="s">
        <v>40</v>
      </c>
      <c r="E191" s="5" t="s">
        <v>64</v>
      </c>
      <c r="F191" s="6" t="s">
        <v>447</v>
      </c>
      <c r="G191" s="6" t="s">
        <v>448</v>
      </c>
      <c r="H191" s="7">
        <v>5</v>
      </c>
      <c r="I191" s="7">
        <v>1</v>
      </c>
      <c r="J191" s="7">
        <f t="shared" si="6"/>
        <v>4</v>
      </c>
      <c r="K191" s="7">
        <v>1850000</v>
      </c>
      <c r="L191" s="7">
        <f t="shared" si="7"/>
        <v>7400000</v>
      </c>
      <c r="M191" s="5" t="s">
        <v>35</v>
      </c>
      <c r="N191" s="6" t="str">
        <f t="shared" si="8"/>
        <v>Menipis</v>
      </c>
      <c r="O191" s="5" t="s">
        <v>76</v>
      </c>
    </row>
    <row r="192" spans="1:15" x14ac:dyDescent="0.35">
      <c r="A192" s="2" t="s">
        <v>126</v>
      </c>
      <c r="B192" s="2" t="s">
        <v>127</v>
      </c>
      <c r="C192" s="2" t="s">
        <v>39</v>
      </c>
      <c r="D192" s="2" t="s">
        <v>40</v>
      </c>
      <c r="E192" s="2" t="s">
        <v>101</v>
      </c>
      <c r="F192" s="3" t="s">
        <v>65</v>
      </c>
      <c r="G192" s="3" t="s">
        <v>422</v>
      </c>
      <c r="H192" s="4">
        <v>5</v>
      </c>
      <c r="I192" s="4">
        <v>1</v>
      </c>
      <c r="J192" s="4">
        <f t="shared" si="6"/>
        <v>4</v>
      </c>
      <c r="K192" s="4">
        <v>1550000</v>
      </c>
      <c r="L192" s="4">
        <f t="shared" si="7"/>
        <v>6200000</v>
      </c>
      <c r="M192" s="2" t="s">
        <v>35</v>
      </c>
      <c r="N192" s="3" t="str">
        <f t="shared" si="8"/>
        <v>Menipis</v>
      </c>
      <c r="O192" s="2" t="s">
        <v>31</v>
      </c>
    </row>
    <row r="193" spans="1:15" x14ac:dyDescent="0.35">
      <c r="A193" s="5" t="s">
        <v>319</v>
      </c>
      <c r="B193" s="5" t="s">
        <v>114</v>
      </c>
      <c r="C193" s="5" t="s">
        <v>17</v>
      </c>
      <c r="D193" s="5" t="s">
        <v>18</v>
      </c>
      <c r="E193" s="5" t="s">
        <v>101</v>
      </c>
      <c r="F193" s="6" t="s">
        <v>449</v>
      </c>
      <c r="G193" s="6"/>
      <c r="H193" s="7">
        <v>50</v>
      </c>
      <c r="I193" s="7">
        <v>0</v>
      </c>
      <c r="J193" s="7">
        <f t="shared" si="6"/>
        <v>50</v>
      </c>
      <c r="K193" s="7">
        <v>85000</v>
      </c>
      <c r="L193" s="7">
        <f t="shared" si="7"/>
        <v>4250000</v>
      </c>
      <c r="M193" s="5" t="s">
        <v>30</v>
      </c>
      <c r="N193" s="6" t="str">
        <f t="shared" si="8"/>
        <v>Tersedia</v>
      </c>
      <c r="O193" s="5" t="s">
        <v>36</v>
      </c>
    </row>
    <row r="194" spans="1:15" x14ac:dyDescent="0.35">
      <c r="A194" s="2" t="s">
        <v>450</v>
      </c>
      <c r="B194" s="2" t="s">
        <v>165</v>
      </c>
      <c r="C194" s="2" t="s">
        <v>17</v>
      </c>
      <c r="D194" s="2" t="s">
        <v>18</v>
      </c>
      <c r="E194" s="2" t="s">
        <v>56</v>
      </c>
      <c r="F194" s="3" t="s">
        <v>112</v>
      </c>
      <c r="G194" s="3" t="s">
        <v>451</v>
      </c>
      <c r="H194" s="4">
        <v>100</v>
      </c>
      <c r="I194" s="4">
        <v>36</v>
      </c>
      <c r="J194" s="4">
        <f t="shared" ref="J194:J257" si="9">H194-I194</f>
        <v>64</v>
      </c>
      <c r="K194" s="4">
        <v>35000</v>
      </c>
      <c r="L194" s="4">
        <f t="shared" ref="L194:L257" si="10">J194*K194</f>
        <v>2240000</v>
      </c>
      <c r="M194" s="2" t="s">
        <v>35</v>
      </c>
      <c r="N194" s="3" t="str">
        <f t="shared" ref="N194:N257" si="11">IF(J194&lt;=0,"Habis",IF(J194&lt;=5,"Menipis","Tersedia"))</f>
        <v>Tersedia</v>
      </c>
      <c r="O194" s="2" t="s">
        <v>36</v>
      </c>
    </row>
    <row r="195" spans="1:15" x14ac:dyDescent="0.35">
      <c r="A195" s="5" t="s">
        <v>452</v>
      </c>
      <c r="B195" s="5" t="s">
        <v>120</v>
      </c>
      <c r="C195" s="5" t="s">
        <v>73</v>
      </c>
      <c r="D195" s="5" t="s">
        <v>74</v>
      </c>
      <c r="E195" s="5" t="s">
        <v>34</v>
      </c>
      <c r="F195" s="6" t="s">
        <v>84</v>
      </c>
      <c r="G195" s="6"/>
      <c r="H195" s="7">
        <v>20</v>
      </c>
      <c r="I195" s="7">
        <v>0</v>
      </c>
      <c r="J195" s="7">
        <f t="shared" si="9"/>
        <v>20</v>
      </c>
      <c r="K195" s="7">
        <v>75000</v>
      </c>
      <c r="L195" s="7">
        <f t="shared" si="10"/>
        <v>1500000</v>
      </c>
      <c r="M195" s="5" t="s">
        <v>85</v>
      </c>
      <c r="N195" s="6" t="str">
        <f t="shared" si="11"/>
        <v>Tersedia</v>
      </c>
      <c r="O195" s="5" t="s">
        <v>76</v>
      </c>
    </row>
    <row r="196" spans="1:15" x14ac:dyDescent="0.35">
      <c r="A196" s="2" t="s">
        <v>249</v>
      </c>
      <c r="B196" s="2" t="s">
        <v>72</v>
      </c>
      <c r="C196" s="2" t="s">
        <v>73</v>
      </c>
      <c r="D196" s="2" t="s">
        <v>74</v>
      </c>
      <c r="E196" s="2" t="s">
        <v>52</v>
      </c>
      <c r="F196" s="3" t="s">
        <v>453</v>
      </c>
      <c r="G196" s="3" t="s">
        <v>408</v>
      </c>
      <c r="H196" s="4">
        <v>50</v>
      </c>
      <c r="I196" s="4">
        <v>8</v>
      </c>
      <c r="J196" s="4">
        <f t="shared" si="9"/>
        <v>42</v>
      </c>
      <c r="K196" s="4">
        <v>240000</v>
      </c>
      <c r="L196" s="4">
        <f t="shared" si="10"/>
        <v>10080000</v>
      </c>
      <c r="M196" s="2" t="s">
        <v>43</v>
      </c>
      <c r="N196" s="3" t="str">
        <f t="shared" si="11"/>
        <v>Tersedia</v>
      </c>
      <c r="O196" s="2" t="s">
        <v>31</v>
      </c>
    </row>
    <row r="197" spans="1:15" x14ac:dyDescent="0.35">
      <c r="A197" s="5" t="s">
        <v>454</v>
      </c>
      <c r="B197" s="5" t="s">
        <v>16</v>
      </c>
      <c r="C197" s="5" t="s">
        <v>17</v>
      </c>
      <c r="D197" s="5" t="s">
        <v>18</v>
      </c>
      <c r="E197" s="5" t="s">
        <v>19</v>
      </c>
      <c r="F197" s="6" t="s">
        <v>455</v>
      </c>
      <c r="G197" s="6" t="s">
        <v>267</v>
      </c>
      <c r="H197" s="7">
        <v>150</v>
      </c>
      <c r="I197" s="7">
        <v>24</v>
      </c>
      <c r="J197" s="7">
        <f t="shared" si="9"/>
        <v>126</v>
      </c>
      <c r="K197" s="7">
        <v>45000</v>
      </c>
      <c r="L197" s="7">
        <f t="shared" si="10"/>
        <v>5670000</v>
      </c>
      <c r="M197" s="5" t="s">
        <v>35</v>
      </c>
      <c r="N197" s="6" t="str">
        <f t="shared" si="11"/>
        <v>Tersedia</v>
      </c>
      <c r="O197" s="5" t="s">
        <v>44</v>
      </c>
    </row>
    <row r="198" spans="1:15" x14ac:dyDescent="0.35">
      <c r="A198" s="2" t="s">
        <v>456</v>
      </c>
      <c r="B198" s="2" t="s">
        <v>72</v>
      </c>
      <c r="C198" s="2" t="s">
        <v>73</v>
      </c>
      <c r="D198" s="2" t="s">
        <v>74</v>
      </c>
      <c r="E198" s="2" t="s">
        <v>19</v>
      </c>
      <c r="F198" s="3" t="s">
        <v>252</v>
      </c>
      <c r="G198" s="3" t="s">
        <v>457</v>
      </c>
      <c r="H198" s="4">
        <v>150</v>
      </c>
      <c r="I198" s="4">
        <v>78</v>
      </c>
      <c r="J198" s="4">
        <f t="shared" si="9"/>
        <v>72</v>
      </c>
      <c r="K198" s="4">
        <v>240000</v>
      </c>
      <c r="L198" s="4">
        <f t="shared" si="10"/>
        <v>17280000</v>
      </c>
      <c r="M198" s="2" t="s">
        <v>35</v>
      </c>
      <c r="N198" s="3" t="str">
        <f t="shared" si="11"/>
        <v>Tersedia</v>
      </c>
      <c r="O198" s="2" t="s">
        <v>86</v>
      </c>
    </row>
    <row r="199" spans="1:15" x14ac:dyDescent="0.35">
      <c r="A199" s="5" t="s">
        <v>349</v>
      </c>
      <c r="B199" s="5" t="s">
        <v>138</v>
      </c>
      <c r="C199" s="5" t="s">
        <v>62</v>
      </c>
      <c r="D199" s="5" t="s">
        <v>63</v>
      </c>
      <c r="E199" s="5" t="s">
        <v>68</v>
      </c>
      <c r="F199" s="6" t="s">
        <v>193</v>
      </c>
      <c r="G199" s="6" t="s">
        <v>102</v>
      </c>
      <c r="H199" s="7">
        <v>200</v>
      </c>
      <c r="I199" s="7">
        <v>92</v>
      </c>
      <c r="J199" s="7">
        <f t="shared" si="9"/>
        <v>108</v>
      </c>
      <c r="K199" s="7">
        <v>450000</v>
      </c>
      <c r="L199" s="7">
        <f t="shared" si="10"/>
        <v>48600000</v>
      </c>
      <c r="M199" s="5" t="s">
        <v>35</v>
      </c>
      <c r="N199" s="6" t="str">
        <f t="shared" si="11"/>
        <v>Tersedia</v>
      </c>
      <c r="O199" s="5" t="s">
        <v>36</v>
      </c>
    </row>
    <row r="200" spans="1:15" x14ac:dyDescent="0.35">
      <c r="A200" s="2" t="s">
        <v>458</v>
      </c>
      <c r="B200" s="2" t="s">
        <v>158</v>
      </c>
      <c r="C200" s="2" t="s">
        <v>26</v>
      </c>
      <c r="D200" s="2" t="s">
        <v>27</v>
      </c>
      <c r="E200" s="2" t="s">
        <v>151</v>
      </c>
      <c r="F200" s="3" t="s">
        <v>189</v>
      </c>
      <c r="G200" s="3"/>
      <c r="H200" s="4">
        <v>200</v>
      </c>
      <c r="I200" s="4">
        <v>0</v>
      </c>
      <c r="J200" s="4">
        <f t="shared" si="9"/>
        <v>200</v>
      </c>
      <c r="K200" s="4">
        <v>65000</v>
      </c>
      <c r="L200" s="4">
        <f t="shared" si="10"/>
        <v>13000000</v>
      </c>
      <c r="M200" s="2" t="s">
        <v>85</v>
      </c>
      <c r="N200" s="3" t="str">
        <f t="shared" si="11"/>
        <v>Tersedia</v>
      </c>
      <c r="O200" s="2" t="s">
        <v>76</v>
      </c>
    </row>
    <row r="201" spans="1:15" x14ac:dyDescent="0.35">
      <c r="A201" s="5" t="s">
        <v>459</v>
      </c>
      <c r="B201" s="5" t="s">
        <v>114</v>
      </c>
      <c r="C201" s="5" t="s">
        <v>17</v>
      </c>
      <c r="D201" s="5" t="s">
        <v>18</v>
      </c>
      <c r="E201" s="5" t="s">
        <v>47</v>
      </c>
      <c r="F201" s="6" t="s">
        <v>231</v>
      </c>
      <c r="G201" s="6"/>
      <c r="H201" s="7">
        <v>100</v>
      </c>
      <c r="I201" s="7">
        <v>0</v>
      </c>
      <c r="J201" s="7">
        <f t="shared" si="9"/>
        <v>100</v>
      </c>
      <c r="K201" s="7">
        <v>85000</v>
      </c>
      <c r="L201" s="7">
        <f t="shared" si="10"/>
        <v>8500000</v>
      </c>
      <c r="M201" s="5" t="s">
        <v>30</v>
      </c>
      <c r="N201" s="6" t="str">
        <f t="shared" si="11"/>
        <v>Tersedia</v>
      </c>
      <c r="O201" s="5" t="s">
        <v>86</v>
      </c>
    </row>
    <row r="202" spans="1:15" x14ac:dyDescent="0.35">
      <c r="A202" s="2" t="s">
        <v>460</v>
      </c>
      <c r="B202" s="2" t="s">
        <v>100</v>
      </c>
      <c r="C202" s="2" t="s">
        <v>81</v>
      </c>
      <c r="D202" s="2" t="s">
        <v>82</v>
      </c>
      <c r="E202" s="2" t="s">
        <v>52</v>
      </c>
      <c r="F202" s="3" t="s">
        <v>316</v>
      </c>
      <c r="G202" s="3" t="s">
        <v>276</v>
      </c>
      <c r="H202" s="4">
        <v>10</v>
      </c>
      <c r="I202" s="4">
        <v>10</v>
      </c>
      <c r="J202" s="4">
        <f t="shared" si="9"/>
        <v>0</v>
      </c>
      <c r="K202" s="4">
        <v>220000</v>
      </c>
      <c r="L202" s="4">
        <f t="shared" si="10"/>
        <v>0</v>
      </c>
      <c r="M202" s="2" t="s">
        <v>30</v>
      </c>
      <c r="N202" s="3" t="str">
        <f t="shared" si="11"/>
        <v>Habis</v>
      </c>
      <c r="O202" s="2" t="s">
        <v>86</v>
      </c>
    </row>
    <row r="203" spans="1:15" x14ac:dyDescent="0.35">
      <c r="A203" s="5" t="s">
        <v>461</v>
      </c>
      <c r="B203" s="5" t="s">
        <v>46</v>
      </c>
      <c r="C203" s="5" t="s">
        <v>26</v>
      </c>
      <c r="D203" s="5" t="s">
        <v>27</v>
      </c>
      <c r="E203" s="5" t="s">
        <v>47</v>
      </c>
      <c r="F203" s="6" t="s">
        <v>383</v>
      </c>
      <c r="G203" s="6" t="s">
        <v>416</v>
      </c>
      <c r="H203" s="7">
        <v>200</v>
      </c>
      <c r="I203" s="7">
        <v>147</v>
      </c>
      <c r="J203" s="7">
        <f t="shared" si="9"/>
        <v>53</v>
      </c>
      <c r="K203" s="7">
        <v>35000</v>
      </c>
      <c r="L203" s="7">
        <f t="shared" si="10"/>
        <v>1855000</v>
      </c>
      <c r="M203" s="5" t="s">
        <v>30</v>
      </c>
      <c r="N203" s="6" t="str">
        <f t="shared" si="11"/>
        <v>Tersedia</v>
      </c>
      <c r="O203" s="5" t="s">
        <v>23</v>
      </c>
    </row>
    <row r="204" spans="1:15" x14ac:dyDescent="0.35">
      <c r="A204" s="2" t="s">
        <v>462</v>
      </c>
      <c r="B204" s="2" t="s">
        <v>51</v>
      </c>
      <c r="C204" s="2" t="s">
        <v>17</v>
      </c>
      <c r="D204" s="2" t="s">
        <v>18</v>
      </c>
      <c r="E204" s="2" t="s">
        <v>68</v>
      </c>
      <c r="F204" s="3" t="s">
        <v>75</v>
      </c>
      <c r="G204" s="3" t="s">
        <v>244</v>
      </c>
      <c r="H204" s="4">
        <v>20</v>
      </c>
      <c r="I204" s="4">
        <v>9</v>
      </c>
      <c r="J204" s="4">
        <f t="shared" si="9"/>
        <v>11</v>
      </c>
      <c r="K204" s="4">
        <v>150000</v>
      </c>
      <c r="L204" s="4">
        <f t="shared" si="10"/>
        <v>1650000</v>
      </c>
      <c r="M204" s="2" t="s">
        <v>35</v>
      </c>
      <c r="N204" s="3" t="str">
        <f t="shared" si="11"/>
        <v>Tersedia</v>
      </c>
      <c r="O204" s="2" t="s">
        <v>70</v>
      </c>
    </row>
    <row r="205" spans="1:15" x14ac:dyDescent="0.35">
      <c r="A205" s="5" t="s">
        <v>463</v>
      </c>
      <c r="B205" s="5" t="s">
        <v>88</v>
      </c>
      <c r="C205" s="5" t="s">
        <v>73</v>
      </c>
      <c r="D205" s="5" t="s">
        <v>74</v>
      </c>
      <c r="E205" s="5" t="s">
        <v>96</v>
      </c>
      <c r="F205" s="6" t="s">
        <v>112</v>
      </c>
      <c r="G205" s="6" t="s">
        <v>368</v>
      </c>
      <c r="H205" s="7">
        <v>200</v>
      </c>
      <c r="I205" s="7">
        <v>73</v>
      </c>
      <c r="J205" s="7">
        <f t="shared" si="9"/>
        <v>127</v>
      </c>
      <c r="K205" s="7">
        <v>650000</v>
      </c>
      <c r="L205" s="7">
        <f t="shared" si="10"/>
        <v>82550000</v>
      </c>
      <c r="M205" s="5" t="s">
        <v>35</v>
      </c>
      <c r="N205" s="6" t="str">
        <f t="shared" si="11"/>
        <v>Tersedia</v>
      </c>
      <c r="O205" s="5" t="s">
        <v>70</v>
      </c>
    </row>
    <row r="206" spans="1:15" x14ac:dyDescent="0.35">
      <c r="A206" s="2" t="s">
        <v>464</v>
      </c>
      <c r="B206" s="2" t="s">
        <v>100</v>
      </c>
      <c r="C206" s="2" t="s">
        <v>81</v>
      </c>
      <c r="D206" s="2" t="s">
        <v>82</v>
      </c>
      <c r="E206" s="2" t="s">
        <v>34</v>
      </c>
      <c r="F206" s="3" t="s">
        <v>300</v>
      </c>
      <c r="G206" s="3" t="s">
        <v>465</v>
      </c>
      <c r="H206" s="4">
        <v>200</v>
      </c>
      <c r="I206" s="4">
        <v>87</v>
      </c>
      <c r="J206" s="4">
        <f t="shared" si="9"/>
        <v>113</v>
      </c>
      <c r="K206" s="4">
        <v>220000</v>
      </c>
      <c r="L206" s="4">
        <f t="shared" si="10"/>
        <v>24860000</v>
      </c>
      <c r="M206" s="2" t="s">
        <v>43</v>
      </c>
      <c r="N206" s="3" t="str">
        <f t="shared" si="11"/>
        <v>Tersedia</v>
      </c>
      <c r="O206" s="2" t="s">
        <v>86</v>
      </c>
    </row>
    <row r="207" spans="1:15" x14ac:dyDescent="0.35">
      <c r="A207" s="5" t="s">
        <v>466</v>
      </c>
      <c r="B207" s="5" t="s">
        <v>16</v>
      </c>
      <c r="C207" s="5" t="s">
        <v>17</v>
      </c>
      <c r="D207" s="5" t="s">
        <v>18</v>
      </c>
      <c r="E207" s="5" t="s">
        <v>34</v>
      </c>
      <c r="F207" s="6" t="s">
        <v>467</v>
      </c>
      <c r="G207" s="6" t="s">
        <v>373</v>
      </c>
      <c r="H207" s="7">
        <v>20</v>
      </c>
      <c r="I207" s="7">
        <v>7</v>
      </c>
      <c r="J207" s="7">
        <f t="shared" si="9"/>
        <v>13</v>
      </c>
      <c r="K207" s="7">
        <v>45000</v>
      </c>
      <c r="L207" s="7">
        <f t="shared" si="10"/>
        <v>585000</v>
      </c>
      <c r="M207" s="5" t="s">
        <v>22</v>
      </c>
      <c r="N207" s="6" t="str">
        <f t="shared" si="11"/>
        <v>Tersedia</v>
      </c>
      <c r="O207" s="5" t="s">
        <v>31</v>
      </c>
    </row>
    <row r="208" spans="1:15" x14ac:dyDescent="0.35">
      <c r="A208" s="2" t="s">
        <v>468</v>
      </c>
      <c r="B208" s="2" t="s">
        <v>206</v>
      </c>
      <c r="C208" s="2" t="s">
        <v>73</v>
      </c>
      <c r="D208" s="2" t="s">
        <v>74</v>
      </c>
      <c r="E208" s="2" t="s">
        <v>47</v>
      </c>
      <c r="F208" s="3" t="s">
        <v>469</v>
      </c>
      <c r="G208" s="3" t="s">
        <v>378</v>
      </c>
      <c r="H208" s="4">
        <v>10</v>
      </c>
      <c r="I208" s="4">
        <v>10</v>
      </c>
      <c r="J208" s="4">
        <f t="shared" si="9"/>
        <v>0</v>
      </c>
      <c r="K208" s="4">
        <v>45000</v>
      </c>
      <c r="L208" s="4">
        <f t="shared" si="10"/>
        <v>0</v>
      </c>
      <c r="M208" s="2" t="s">
        <v>85</v>
      </c>
      <c r="N208" s="3" t="str">
        <f t="shared" si="11"/>
        <v>Habis</v>
      </c>
      <c r="O208" s="2" t="s">
        <v>76</v>
      </c>
    </row>
    <row r="209" spans="1:15" x14ac:dyDescent="0.35">
      <c r="A209" s="5" t="s">
        <v>470</v>
      </c>
      <c r="B209" s="5" t="s">
        <v>72</v>
      </c>
      <c r="C209" s="5" t="s">
        <v>73</v>
      </c>
      <c r="D209" s="5" t="s">
        <v>74</v>
      </c>
      <c r="E209" s="5" t="s">
        <v>68</v>
      </c>
      <c r="F209" s="6" t="s">
        <v>252</v>
      </c>
      <c r="G209" s="6" t="s">
        <v>471</v>
      </c>
      <c r="H209" s="7">
        <v>150</v>
      </c>
      <c r="I209" s="7">
        <v>149</v>
      </c>
      <c r="J209" s="7">
        <f t="shared" si="9"/>
        <v>1</v>
      </c>
      <c r="K209" s="7">
        <v>240000</v>
      </c>
      <c r="L209" s="7">
        <f t="shared" si="10"/>
        <v>240000</v>
      </c>
      <c r="M209" s="5" t="s">
        <v>22</v>
      </c>
      <c r="N209" s="6" t="str">
        <f t="shared" si="11"/>
        <v>Menipis</v>
      </c>
      <c r="O209" s="5" t="s">
        <v>23</v>
      </c>
    </row>
    <row r="210" spans="1:15" x14ac:dyDescent="0.35">
      <c r="A210" s="2" t="s">
        <v>472</v>
      </c>
      <c r="B210" s="2" t="s">
        <v>127</v>
      </c>
      <c r="C210" s="2" t="s">
        <v>39</v>
      </c>
      <c r="D210" s="2" t="s">
        <v>40</v>
      </c>
      <c r="E210" s="2" t="s">
        <v>56</v>
      </c>
      <c r="F210" s="3" t="s">
        <v>473</v>
      </c>
      <c r="G210" s="3" t="s">
        <v>238</v>
      </c>
      <c r="H210" s="4">
        <v>5</v>
      </c>
      <c r="I210" s="4">
        <v>4</v>
      </c>
      <c r="J210" s="4">
        <f t="shared" si="9"/>
        <v>1</v>
      </c>
      <c r="K210" s="4">
        <v>1550000</v>
      </c>
      <c r="L210" s="4">
        <f t="shared" si="10"/>
        <v>1550000</v>
      </c>
      <c r="M210" s="2" t="s">
        <v>22</v>
      </c>
      <c r="N210" s="3" t="str">
        <f t="shared" si="11"/>
        <v>Menipis</v>
      </c>
      <c r="O210" s="2" t="s">
        <v>76</v>
      </c>
    </row>
    <row r="211" spans="1:15" x14ac:dyDescent="0.35">
      <c r="A211" s="5" t="s">
        <v>369</v>
      </c>
      <c r="B211" s="5" t="s">
        <v>38</v>
      </c>
      <c r="C211" s="5" t="s">
        <v>39</v>
      </c>
      <c r="D211" s="5" t="s">
        <v>40</v>
      </c>
      <c r="E211" s="5" t="s">
        <v>68</v>
      </c>
      <c r="F211" s="6" t="s">
        <v>422</v>
      </c>
      <c r="G211" s="6" t="s">
        <v>444</v>
      </c>
      <c r="H211" s="7">
        <v>10</v>
      </c>
      <c r="I211" s="7">
        <v>3</v>
      </c>
      <c r="J211" s="7">
        <f t="shared" si="9"/>
        <v>7</v>
      </c>
      <c r="K211" s="7">
        <v>4500000</v>
      </c>
      <c r="L211" s="7">
        <f t="shared" si="10"/>
        <v>31500000</v>
      </c>
      <c r="M211" s="5" t="s">
        <v>30</v>
      </c>
      <c r="N211" s="6" t="str">
        <f t="shared" si="11"/>
        <v>Tersedia</v>
      </c>
      <c r="O211" s="5" t="s">
        <v>44</v>
      </c>
    </row>
    <row r="212" spans="1:15" x14ac:dyDescent="0.35">
      <c r="A212" s="2" t="s">
        <v>474</v>
      </c>
      <c r="B212" s="2" t="s">
        <v>108</v>
      </c>
      <c r="C212" s="2" t="s">
        <v>62</v>
      </c>
      <c r="D212" s="2" t="s">
        <v>63</v>
      </c>
      <c r="E212" s="2" t="s">
        <v>19</v>
      </c>
      <c r="F212" s="3" t="s">
        <v>475</v>
      </c>
      <c r="G212" s="3" t="s">
        <v>413</v>
      </c>
      <c r="H212" s="4">
        <v>50</v>
      </c>
      <c r="I212" s="4">
        <v>35</v>
      </c>
      <c r="J212" s="4">
        <f t="shared" si="9"/>
        <v>15</v>
      </c>
      <c r="K212" s="4">
        <v>650000</v>
      </c>
      <c r="L212" s="4">
        <f t="shared" si="10"/>
        <v>9750000</v>
      </c>
      <c r="M212" s="2" t="s">
        <v>30</v>
      </c>
      <c r="N212" s="3" t="str">
        <f t="shared" si="11"/>
        <v>Tersedia</v>
      </c>
      <c r="O212" s="2" t="s">
        <v>36</v>
      </c>
    </row>
    <row r="213" spans="1:15" x14ac:dyDescent="0.35">
      <c r="A213" s="5" t="s">
        <v>476</v>
      </c>
      <c r="B213" s="5" t="s">
        <v>51</v>
      </c>
      <c r="C213" s="5" t="s">
        <v>17</v>
      </c>
      <c r="D213" s="5" t="s">
        <v>18</v>
      </c>
      <c r="E213" s="5" t="s">
        <v>101</v>
      </c>
      <c r="F213" s="6" t="s">
        <v>207</v>
      </c>
      <c r="G213" s="6"/>
      <c r="H213" s="7">
        <v>10</v>
      </c>
      <c r="I213" s="7">
        <v>0</v>
      </c>
      <c r="J213" s="7">
        <f t="shared" si="9"/>
        <v>10</v>
      </c>
      <c r="K213" s="7">
        <v>150000</v>
      </c>
      <c r="L213" s="7">
        <f t="shared" si="10"/>
        <v>1500000</v>
      </c>
      <c r="M213" s="5" t="s">
        <v>43</v>
      </c>
      <c r="N213" s="6" t="str">
        <f t="shared" si="11"/>
        <v>Tersedia</v>
      </c>
      <c r="O213" s="5" t="s">
        <v>44</v>
      </c>
    </row>
    <row r="214" spans="1:15" x14ac:dyDescent="0.35">
      <c r="A214" s="2" t="s">
        <v>304</v>
      </c>
      <c r="B214" s="2" t="s">
        <v>25</v>
      </c>
      <c r="C214" s="2" t="s">
        <v>26</v>
      </c>
      <c r="D214" s="2" t="s">
        <v>27</v>
      </c>
      <c r="E214" s="2" t="s">
        <v>52</v>
      </c>
      <c r="F214" s="3" t="s">
        <v>378</v>
      </c>
      <c r="G214" s="3" t="s">
        <v>477</v>
      </c>
      <c r="H214" s="4">
        <v>10</v>
      </c>
      <c r="I214" s="4">
        <v>8</v>
      </c>
      <c r="J214" s="4">
        <f t="shared" si="9"/>
        <v>2</v>
      </c>
      <c r="K214" s="4">
        <v>45000</v>
      </c>
      <c r="L214" s="4">
        <f t="shared" si="10"/>
        <v>90000</v>
      </c>
      <c r="M214" s="2" t="s">
        <v>85</v>
      </c>
      <c r="N214" s="3" t="str">
        <f t="shared" si="11"/>
        <v>Menipis</v>
      </c>
      <c r="O214" s="2" t="s">
        <v>76</v>
      </c>
    </row>
    <row r="215" spans="1:15" x14ac:dyDescent="0.35">
      <c r="A215" s="5" t="s">
        <v>187</v>
      </c>
      <c r="B215" s="5" t="s">
        <v>80</v>
      </c>
      <c r="C215" s="5" t="s">
        <v>81</v>
      </c>
      <c r="D215" s="5" t="s">
        <v>82</v>
      </c>
      <c r="E215" s="5" t="s">
        <v>151</v>
      </c>
      <c r="F215" s="6" t="s">
        <v>140</v>
      </c>
      <c r="G215" s="6"/>
      <c r="H215" s="7">
        <v>20</v>
      </c>
      <c r="I215" s="7">
        <v>0</v>
      </c>
      <c r="J215" s="7">
        <f t="shared" si="9"/>
        <v>20</v>
      </c>
      <c r="K215" s="7">
        <v>280000</v>
      </c>
      <c r="L215" s="7">
        <f t="shared" si="10"/>
        <v>5600000</v>
      </c>
      <c r="M215" s="5" t="s">
        <v>30</v>
      </c>
      <c r="N215" s="6" t="str">
        <f t="shared" si="11"/>
        <v>Tersedia</v>
      </c>
      <c r="O215" s="5" t="s">
        <v>70</v>
      </c>
    </row>
    <row r="216" spans="1:15" x14ac:dyDescent="0.35">
      <c r="A216" s="2" t="s">
        <v>443</v>
      </c>
      <c r="B216" s="2" t="s">
        <v>88</v>
      </c>
      <c r="C216" s="2" t="s">
        <v>73</v>
      </c>
      <c r="D216" s="2" t="s">
        <v>74</v>
      </c>
      <c r="E216" s="2" t="s">
        <v>47</v>
      </c>
      <c r="F216" s="3" t="s">
        <v>317</v>
      </c>
      <c r="G216" s="3"/>
      <c r="H216" s="4">
        <v>150</v>
      </c>
      <c r="I216" s="4">
        <v>0</v>
      </c>
      <c r="J216" s="4">
        <f t="shared" si="9"/>
        <v>150</v>
      </c>
      <c r="K216" s="4">
        <v>650000</v>
      </c>
      <c r="L216" s="4">
        <f t="shared" si="10"/>
        <v>97500000</v>
      </c>
      <c r="M216" s="2" t="s">
        <v>30</v>
      </c>
      <c r="N216" s="3" t="str">
        <f t="shared" si="11"/>
        <v>Tersedia</v>
      </c>
      <c r="O216" s="2" t="s">
        <v>23</v>
      </c>
    </row>
    <row r="217" spans="1:15" x14ac:dyDescent="0.35">
      <c r="A217" s="5" t="s">
        <v>478</v>
      </c>
      <c r="B217" s="5" t="s">
        <v>108</v>
      </c>
      <c r="C217" s="5" t="s">
        <v>62</v>
      </c>
      <c r="D217" s="5" t="s">
        <v>63</v>
      </c>
      <c r="E217" s="5" t="s">
        <v>64</v>
      </c>
      <c r="F217" s="6" t="s">
        <v>180</v>
      </c>
      <c r="G217" s="6"/>
      <c r="H217" s="7">
        <v>200</v>
      </c>
      <c r="I217" s="7">
        <v>0</v>
      </c>
      <c r="J217" s="7">
        <f t="shared" si="9"/>
        <v>200</v>
      </c>
      <c r="K217" s="7">
        <v>650000</v>
      </c>
      <c r="L217" s="7">
        <f t="shared" si="10"/>
        <v>130000000</v>
      </c>
      <c r="M217" s="5" t="s">
        <v>43</v>
      </c>
      <c r="N217" s="6" t="str">
        <f t="shared" si="11"/>
        <v>Tersedia</v>
      </c>
      <c r="O217" s="5" t="s">
        <v>76</v>
      </c>
    </row>
    <row r="218" spans="1:15" x14ac:dyDescent="0.35">
      <c r="A218" s="2" t="s">
        <v>278</v>
      </c>
      <c r="B218" s="2" t="s">
        <v>108</v>
      </c>
      <c r="C218" s="2" t="s">
        <v>62</v>
      </c>
      <c r="D218" s="2" t="s">
        <v>63</v>
      </c>
      <c r="E218" s="2" t="s">
        <v>47</v>
      </c>
      <c r="F218" s="3" t="s">
        <v>479</v>
      </c>
      <c r="G218" s="3" t="s">
        <v>225</v>
      </c>
      <c r="H218" s="4">
        <v>50</v>
      </c>
      <c r="I218" s="4">
        <v>15</v>
      </c>
      <c r="J218" s="4">
        <f t="shared" si="9"/>
        <v>35</v>
      </c>
      <c r="K218" s="4">
        <v>650000</v>
      </c>
      <c r="L218" s="4">
        <f t="shared" si="10"/>
        <v>22750000</v>
      </c>
      <c r="M218" s="2" t="s">
        <v>30</v>
      </c>
      <c r="N218" s="3" t="str">
        <f t="shared" si="11"/>
        <v>Tersedia</v>
      </c>
      <c r="O218" s="2" t="s">
        <v>23</v>
      </c>
    </row>
    <row r="219" spans="1:15" x14ac:dyDescent="0.35">
      <c r="A219" s="5" t="s">
        <v>345</v>
      </c>
      <c r="B219" s="5" t="s">
        <v>150</v>
      </c>
      <c r="C219" s="5" t="s">
        <v>81</v>
      </c>
      <c r="D219" s="5" t="s">
        <v>82</v>
      </c>
      <c r="E219" s="5" t="s">
        <v>19</v>
      </c>
      <c r="F219" s="6" t="s">
        <v>361</v>
      </c>
      <c r="G219" s="6"/>
      <c r="H219" s="7">
        <v>10</v>
      </c>
      <c r="I219" s="7">
        <v>0</v>
      </c>
      <c r="J219" s="7">
        <f t="shared" si="9"/>
        <v>10</v>
      </c>
      <c r="K219" s="7">
        <v>85000</v>
      </c>
      <c r="L219" s="7">
        <f t="shared" si="10"/>
        <v>850000</v>
      </c>
      <c r="M219" s="5" t="s">
        <v>22</v>
      </c>
      <c r="N219" s="6" t="str">
        <f t="shared" si="11"/>
        <v>Tersedia</v>
      </c>
      <c r="O219" s="5" t="s">
        <v>59</v>
      </c>
    </row>
    <row r="220" spans="1:15" x14ac:dyDescent="0.35">
      <c r="A220" s="2" t="s">
        <v>324</v>
      </c>
      <c r="B220" s="2" t="s">
        <v>120</v>
      </c>
      <c r="C220" s="2" t="s">
        <v>73</v>
      </c>
      <c r="D220" s="2" t="s">
        <v>74</v>
      </c>
      <c r="E220" s="2" t="s">
        <v>47</v>
      </c>
      <c r="F220" s="3" t="s">
        <v>21</v>
      </c>
      <c r="G220" s="3" t="s">
        <v>153</v>
      </c>
      <c r="H220" s="4">
        <v>150</v>
      </c>
      <c r="I220" s="4">
        <v>145</v>
      </c>
      <c r="J220" s="4">
        <f t="shared" si="9"/>
        <v>5</v>
      </c>
      <c r="K220" s="4">
        <v>75000</v>
      </c>
      <c r="L220" s="4">
        <f t="shared" si="10"/>
        <v>375000</v>
      </c>
      <c r="M220" s="2" t="s">
        <v>85</v>
      </c>
      <c r="N220" s="3" t="str">
        <f t="shared" si="11"/>
        <v>Menipis</v>
      </c>
      <c r="O220" s="2" t="s">
        <v>76</v>
      </c>
    </row>
    <row r="221" spans="1:15" x14ac:dyDescent="0.35">
      <c r="A221" s="5" t="s">
        <v>379</v>
      </c>
      <c r="B221" s="5" t="s">
        <v>80</v>
      </c>
      <c r="C221" s="5" t="s">
        <v>81</v>
      </c>
      <c r="D221" s="5" t="s">
        <v>82</v>
      </c>
      <c r="E221" s="5" t="s">
        <v>52</v>
      </c>
      <c r="F221" s="6" t="s">
        <v>146</v>
      </c>
      <c r="G221" s="6" t="s">
        <v>274</v>
      </c>
      <c r="H221" s="7">
        <v>10</v>
      </c>
      <c r="I221" s="7">
        <v>8</v>
      </c>
      <c r="J221" s="7">
        <f t="shared" si="9"/>
        <v>2</v>
      </c>
      <c r="K221" s="7">
        <v>280000</v>
      </c>
      <c r="L221" s="7">
        <f t="shared" si="10"/>
        <v>560000</v>
      </c>
      <c r="M221" s="5" t="s">
        <v>43</v>
      </c>
      <c r="N221" s="6" t="str">
        <f t="shared" si="11"/>
        <v>Menipis</v>
      </c>
      <c r="O221" s="5" t="s">
        <v>86</v>
      </c>
    </row>
    <row r="222" spans="1:15" x14ac:dyDescent="0.35">
      <c r="A222" s="2" t="s">
        <v>480</v>
      </c>
      <c r="B222" s="2" t="s">
        <v>95</v>
      </c>
      <c r="C222" s="2" t="s">
        <v>62</v>
      </c>
      <c r="D222" s="2" t="s">
        <v>63</v>
      </c>
      <c r="E222" s="2" t="s">
        <v>68</v>
      </c>
      <c r="F222" s="3" t="s">
        <v>84</v>
      </c>
      <c r="G222" s="3" t="s">
        <v>225</v>
      </c>
      <c r="H222" s="4">
        <v>20</v>
      </c>
      <c r="I222" s="4">
        <v>9</v>
      </c>
      <c r="J222" s="4">
        <f t="shared" si="9"/>
        <v>11</v>
      </c>
      <c r="K222" s="4">
        <v>850000</v>
      </c>
      <c r="L222" s="4">
        <f t="shared" si="10"/>
        <v>9350000</v>
      </c>
      <c r="M222" s="2" t="s">
        <v>22</v>
      </c>
      <c r="N222" s="3" t="str">
        <f t="shared" si="11"/>
        <v>Tersedia</v>
      </c>
      <c r="O222" s="2" t="s">
        <v>36</v>
      </c>
    </row>
    <row r="223" spans="1:15" x14ac:dyDescent="0.35">
      <c r="A223" s="5" t="s">
        <v>481</v>
      </c>
      <c r="B223" s="5" t="s">
        <v>67</v>
      </c>
      <c r="C223" s="5" t="s">
        <v>39</v>
      </c>
      <c r="D223" s="5" t="s">
        <v>40</v>
      </c>
      <c r="E223" s="5" t="s">
        <v>47</v>
      </c>
      <c r="F223" s="6" t="s">
        <v>171</v>
      </c>
      <c r="G223" s="6" t="s">
        <v>48</v>
      </c>
      <c r="H223" s="7">
        <v>10</v>
      </c>
      <c r="I223" s="7">
        <v>4</v>
      </c>
      <c r="J223" s="7">
        <f t="shared" si="9"/>
        <v>6</v>
      </c>
      <c r="K223" s="7">
        <v>3800000</v>
      </c>
      <c r="L223" s="7">
        <f t="shared" si="10"/>
        <v>22800000</v>
      </c>
      <c r="M223" s="5" t="s">
        <v>35</v>
      </c>
      <c r="N223" s="6" t="str">
        <f t="shared" si="11"/>
        <v>Tersedia</v>
      </c>
      <c r="O223" s="5" t="s">
        <v>44</v>
      </c>
    </row>
    <row r="224" spans="1:15" x14ac:dyDescent="0.35">
      <c r="A224" s="2" t="s">
        <v>482</v>
      </c>
      <c r="B224" s="2" t="s">
        <v>16</v>
      </c>
      <c r="C224" s="2" t="s">
        <v>17</v>
      </c>
      <c r="D224" s="2" t="s">
        <v>18</v>
      </c>
      <c r="E224" s="2" t="s">
        <v>64</v>
      </c>
      <c r="F224" s="3" t="s">
        <v>483</v>
      </c>
      <c r="G224" s="3"/>
      <c r="H224" s="4">
        <v>100</v>
      </c>
      <c r="I224" s="4">
        <v>0</v>
      </c>
      <c r="J224" s="4">
        <f t="shared" si="9"/>
        <v>100</v>
      </c>
      <c r="K224" s="4">
        <v>45000</v>
      </c>
      <c r="L224" s="4">
        <f t="shared" si="10"/>
        <v>4500000</v>
      </c>
      <c r="M224" s="2" t="s">
        <v>22</v>
      </c>
      <c r="N224" s="3" t="str">
        <f t="shared" si="11"/>
        <v>Tersedia</v>
      </c>
      <c r="O224" s="2" t="s">
        <v>36</v>
      </c>
    </row>
    <row r="225" spans="1:15" x14ac:dyDescent="0.35">
      <c r="A225" s="5" t="s">
        <v>484</v>
      </c>
      <c r="B225" s="5" t="s">
        <v>95</v>
      </c>
      <c r="C225" s="5" t="s">
        <v>62</v>
      </c>
      <c r="D225" s="5" t="s">
        <v>63</v>
      </c>
      <c r="E225" s="5" t="s">
        <v>34</v>
      </c>
      <c r="F225" s="6" t="s">
        <v>467</v>
      </c>
      <c r="G225" s="6" t="s">
        <v>485</v>
      </c>
      <c r="H225" s="7">
        <v>150</v>
      </c>
      <c r="I225" s="7">
        <v>118</v>
      </c>
      <c r="J225" s="7">
        <f t="shared" si="9"/>
        <v>32</v>
      </c>
      <c r="K225" s="7">
        <v>850000</v>
      </c>
      <c r="L225" s="7">
        <f t="shared" si="10"/>
        <v>27200000</v>
      </c>
      <c r="M225" s="5" t="s">
        <v>22</v>
      </c>
      <c r="N225" s="6" t="str">
        <f t="shared" si="11"/>
        <v>Tersedia</v>
      </c>
      <c r="O225" s="5" t="s">
        <v>76</v>
      </c>
    </row>
    <row r="226" spans="1:15" x14ac:dyDescent="0.35">
      <c r="A226" s="2" t="s">
        <v>486</v>
      </c>
      <c r="B226" s="2" t="s">
        <v>158</v>
      </c>
      <c r="C226" s="2" t="s">
        <v>26</v>
      </c>
      <c r="D226" s="2" t="s">
        <v>27</v>
      </c>
      <c r="E226" s="2" t="s">
        <v>19</v>
      </c>
      <c r="F226" s="3" t="s">
        <v>148</v>
      </c>
      <c r="G226" s="3" t="s">
        <v>145</v>
      </c>
      <c r="H226" s="4">
        <v>50</v>
      </c>
      <c r="I226" s="4">
        <v>8</v>
      </c>
      <c r="J226" s="4">
        <f t="shared" si="9"/>
        <v>42</v>
      </c>
      <c r="K226" s="4">
        <v>65000</v>
      </c>
      <c r="L226" s="4">
        <f t="shared" si="10"/>
        <v>2730000</v>
      </c>
      <c r="M226" s="2" t="s">
        <v>22</v>
      </c>
      <c r="N226" s="3" t="str">
        <f t="shared" si="11"/>
        <v>Tersedia</v>
      </c>
      <c r="O226" s="2" t="s">
        <v>44</v>
      </c>
    </row>
    <row r="227" spans="1:15" x14ac:dyDescent="0.35">
      <c r="A227" s="5" t="s">
        <v>237</v>
      </c>
      <c r="B227" s="5" t="s">
        <v>33</v>
      </c>
      <c r="C227" s="5" t="s">
        <v>26</v>
      </c>
      <c r="D227" s="5" t="s">
        <v>27</v>
      </c>
      <c r="E227" s="5" t="s">
        <v>96</v>
      </c>
      <c r="F227" s="6" t="s">
        <v>469</v>
      </c>
      <c r="G227" s="6" t="s">
        <v>487</v>
      </c>
      <c r="H227" s="7">
        <v>20</v>
      </c>
      <c r="I227" s="7">
        <v>20</v>
      </c>
      <c r="J227" s="7">
        <f t="shared" si="9"/>
        <v>0</v>
      </c>
      <c r="K227" s="7">
        <v>12000</v>
      </c>
      <c r="L227" s="7">
        <f t="shared" si="10"/>
        <v>0</v>
      </c>
      <c r="M227" s="5" t="s">
        <v>85</v>
      </c>
      <c r="N227" s="6" t="str">
        <f t="shared" si="11"/>
        <v>Habis</v>
      </c>
      <c r="O227" s="5" t="s">
        <v>31</v>
      </c>
    </row>
    <row r="228" spans="1:15" x14ac:dyDescent="0.35">
      <c r="A228" s="2" t="s">
        <v>176</v>
      </c>
      <c r="B228" s="2" t="s">
        <v>158</v>
      </c>
      <c r="C228" s="2" t="s">
        <v>26</v>
      </c>
      <c r="D228" s="2" t="s">
        <v>27</v>
      </c>
      <c r="E228" s="2" t="s">
        <v>101</v>
      </c>
      <c r="F228" s="3" t="s">
        <v>488</v>
      </c>
      <c r="G228" s="3" t="s">
        <v>227</v>
      </c>
      <c r="H228" s="4">
        <v>100</v>
      </c>
      <c r="I228" s="4">
        <v>89</v>
      </c>
      <c r="J228" s="4">
        <f t="shared" si="9"/>
        <v>11</v>
      </c>
      <c r="K228" s="4">
        <v>65000</v>
      </c>
      <c r="L228" s="4">
        <f t="shared" si="10"/>
        <v>715000</v>
      </c>
      <c r="M228" s="2" t="s">
        <v>43</v>
      </c>
      <c r="N228" s="3" t="str">
        <f t="shared" si="11"/>
        <v>Tersedia</v>
      </c>
      <c r="O228" s="2" t="s">
        <v>44</v>
      </c>
    </row>
    <row r="229" spans="1:15" x14ac:dyDescent="0.35">
      <c r="A229" s="5" t="s">
        <v>489</v>
      </c>
      <c r="B229" s="5" t="s">
        <v>217</v>
      </c>
      <c r="C229" s="5" t="s">
        <v>26</v>
      </c>
      <c r="D229" s="5" t="s">
        <v>27</v>
      </c>
      <c r="E229" s="5" t="s">
        <v>47</v>
      </c>
      <c r="F229" s="6" t="s">
        <v>274</v>
      </c>
      <c r="G229" s="6"/>
      <c r="H229" s="7">
        <v>20</v>
      </c>
      <c r="I229" s="7">
        <v>0</v>
      </c>
      <c r="J229" s="7">
        <f t="shared" si="9"/>
        <v>20</v>
      </c>
      <c r="K229" s="7">
        <v>55000</v>
      </c>
      <c r="L229" s="7">
        <f t="shared" si="10"/>
        <v>1100000</v>
      </c>
      <c r="M229" s="5" t="s">
        <v>30</v>
      </c>
      <c r="N229" s="6" t="str">
        <f t="shared" si="11"/>
        <v>Tersedia</v>
      </c>
      <c r="O229" s="5" t="s">
        <v>23</v>
      </c>
    </row>
    <row r="230" spans="1:15" x14ac:dyDescent="0.35">
      <c r="A230" s="2" t="s">
        <v>490</v>
      </c>
      <c r="B230" s="2" t="s">
        <v>114</v>
      </c>
      <c r="C230" s="2" t="s">
        <v>17</v>
      </c>
      <c r="D230" s="2" t="s">
        <v>18</v>
      </c>
      <c r="E230" s="2" t="s">
        <v>19</v>
      </c>
      <c r="F230" s="3" t="s">
        <v>491</v>
      </c>
      <c r="G230" s="3"/>
      <c r="H230" s="4">
        <v>10</v>
      </c>
      <c r="I230" s="4">
        <v>0</v>
      </c>
      <c r="J230" s="4">
        <f t="shared" si="9"/>
        <v>10</v>
      </c>
      <c r="K230" s="4">
        <v>85000</v>
      </c>
      <c r="L230" s="4">
        <f t="shared" si="10"/>
        <v>850000</v>
      </c>
      <c r="M230" s="2" t="s">
        <v>85</v>
      </c>
      <c r="N230" s="3" t="str">
        <f t="shared" si="11"/>
        <v>Tersedia</v>
      </c>
      <c r="O230" s="2" t="s">
        <v>86</v>
      </c>
    </row>
    <row r="231" spans="1:15" x14ac:dyDescent="0.35">
      <c r="A231" s="5" t="s">
        <v>91</v>
      </c>
      <c r="B231" s="5" t="s">
        <v>67</v>
      </c>
      <c r="C231" s="5" t="s">
        <v>39</v>
      </c>
      <c r="D231" s="5" t="s">
        <v>40</v>
      </c>
      <c r="E231" s="5" t="s">
        <v>56</v>
      </c>
      <c r="F231" s="6" t="s">
        <v>264</v>
      </c>
      <c r="G231" s="6"/>
      <c r="H231" s="7">
        <v>2</v>
      </c>
      <c r="I231" s="7">
        <v>0</v>
      </c>
      <c r="J231" s="7">
        <f t="shared" si="9"/>
        <v>2</v>
      </c>
      <c r="K231" s="7">
        <v>3800000</v>
      </c>
      <c r="L231" s="7">
        <f t="shared" si="10"/>
        <v>7600000</v>
      </c>
      <c r="M231" s="5" t="s">
        <v>30</v>
      </c>
      <c r="N231" s="6" t="str">
        <f t="shared" si="11"/>
        <v>Menipis</v>
      </c>
      <c r="O231" s="5" t="s">
        <v>44</v>
      </c>
    </row>
    <row r="232" spans="1:15" x14ac:dyDescent="0.35">
      <c r="A232" s="2" t="s">
        <v>492</v>
      </c>
      <c r="B232" s="2" t="s">
        <v>117</v>
      </c>
      <c r="C232" s="2" t="s">
        <v>81</v>
      </c>
      <c r="D232" s="2" t="s">
        <v>82</v>
      </c>
      <c r="E232" s="2" t="s">
        <v>64</v>
      </c>
      <c r="F232" s="3" t="s">
        <v>370</v>
      </c>
      <c r="G232" s="3" t="s">
        <v>308</v>
      </c>
      <c r="H232" s="4">
        <v>20</v>
      </c>
      <c r="I232" s="4">
        <v>17</v>
      </c>
      <c r="J232" s="4">
        <f t="shared" si="9"/>
        <v>3</v>
      </c>
      <c r="K232" s="4">
        <v>310000</v>
      </c>
      <c r="L232" s="4">
        <f t="shared" si="10"/>
        <v>930000</v>
      </c>
      <c r="M232" s="2" t="s">
        <v>30</v>
      </c>
      <c r="N232" s="3" t="str">
        <f t="shared" si="11"/>
        <v>Menipis</v>
      </c>
      <c r="O232" s="2" t="s">
        <v>44</v>
      </c>
    </row>
    <row r="233" spans="1:15" x14ac:dyDescent="0.35">
      <c r="A233" s="5" t="s">
        <v>343</v>
      </c>
      <c r="B233" s="5" t="s">
        <v>51</v>
      </c>
      <c r="C233" s="5" t="s">
        <v>17</v>
      </c>
      <c r="D233" s="5" t="s">
        <v>18</v>
      </c>
      <c r="E233" s="5" t="s">
        <v>56</v>
      </c>
      <c r="F233" s="6" t="s">
        <v>97</v>
      </c>
      <c r="G233" s="6"/>
      <c r="H233" s="7">
        <v>10</v>
      </c>
      <c r="I233" s="7">
        <v>0</v>
      </c>
      <c r="J233" s="7">
        <f t="shared" si="9"/>
        <v>10</v>
      </c>
      <c r="K233" s="7">
        <v>150000</v>
      </c>
      <c r="L233" s="7">
        <f t="shared" si="10"/>
        <v>1500000</v>
      </c>
      <c r="M233" s="5" t="s">
        <v>30</v>
      </c>
      <c r="N233" s="6" t="str">
        <f t="shared" si="11"/>
        <v>Tersedia</v>
      </c>
      <c r="O233" s="5" t="s">
        <v>44</v>
      </c>
    </row>
    <row r="234" spans="1:15" x14ac:dyDescent="0.35">
      <c r="A234" s="2" t="s">
        <v>493</v>
      </c>
      <c r="B234" s="2" t="s">
        <v>117</v>
      </c>
      <c r="C234" s="2" t="s">
        <v>81</v>
      </c>
      <c r="D234" s="2" t="s">
        <v>82</v>
      </c>
      <c r="E234" s="2" t="s">
        <v>34</v>
      </c>
      <c r="F234" s="3" t="s">
        <v>494</v>
      </c>
      <c r="G234" s="3"/>
      <c r="H234" s="4">
        <v>150</v>
      </c>
      <c r="I234" s="4">
        <v>0</v>
      </c>
      <c r="J234" s="4">
        <f t="shared" si="9"/>
        <v>150</v>
      </c>
      <c r="K234" s="4">
        <v>310000</v>
      </c>
      <c r="L234" s="4">
        <f t="shared" si="10"/>
        <v>46500000</v>
      </c>
      <c r="M234" s="2" t="s">
        <v>35</v>
      </c>
      <c r="N234" s="3" t="str">
        <f t="shared" si="11"/>
        <v>Tersedia</v>
      </c>
      <c r="O234" s="2" t="s">
        <v>31</v>
      </c>
    </row>
    <row r="235" spans="1:15" x14ac:dyDescent="0.35">
      <c r="A235" s="5" t="s">
        <v>495</v>
      </c>
      <c r="B235" s="5" t="s">
        <v>25</v>
      </c>
      <c r="C235" s="5" t="s">
        <v>26</v>
      </c>
      <c r="D235" s="5" t="s">
        <v>27</v>
      </c>
      <c r="E235" s="5" t="s">
        <v>68</v>
      </c>
      <c r="F235" s="6" t="s">
        <v>439</v>
      </c>
      <c r="G235" s="6" t="s">
        <v>110</v>
      </c>
      <c r="H235" s="7">
        <v>50</v>
      </c>
      <c r="I235" s="7">
        <v>25</v>
      </c>
      <c r="J235" s="7">
        <f t="shared" si="9"/>
        <v>25</v>
      </c>
      <c r="K235" s="7">
        <v>45000</v>
      </c>
      <c r="L235" s="7">
        <f t="shared" si="10"/>
        <v>1125000</v>
      </c>
      <c r="M235" s="5" t="s">
        <v>85</v>
      </c>
      <c r="N235" s="6" t="str">
        <f t="shared" si="11"/>
        <v>Tersedia</v>
      </c>
      <c r="O235" s="5" t="s">
        <v>31</v>
      </c>
    </row>
    <row r="236" spans="1:15" x14ac:dyDescent="0.35">
      <c r="A236" s="2" t="s">
        <v>496</v>
      </c>
      <c r="B236" s="2" t="s">
        <v>80</v>
      </c>
      <c r="C236" s="2" t="s">
        <v>81</v>
      </c>
      <c r="D236" s="2" t="s">
        <v>82</v>
      </c>
      <c r="E236" s="2" t="s">
        <v>64</v>
      </c>
      <c r="F236" s="3" t="s">
        <v>247</v>
      </c>
      <c r="G236" s="3" t="s">
        <v>248</v>
      </c>
      <c r="H236" s="4">
        <v>100</v>
      </c>
      <c r="I236" s="4">
        <v>77</v>
      </c>
      <c r="J236" s="4">
        <f t="shared" si="9"/>
        <v>23</v>
      </c>
      <c r="K236" s="4">
        <v>280000</v>
      </c>
      <c r="L236" s="4">
        <f t="shared" si="10"/>
        <v>6440000</v>
      </c>
      <c r="M236" s="2" t="s">
        <v>85</v>
      </c>
      <c r="N236" s="3" t="str">
        <f t="shared" si="11"/>
        <v>Tersedia</v>
      </c>
      <c r="O236" s="2" t="s">
        <v>70</v>
      </c>
    </row>
    <row r="237" spans="1:15" x14ac:dyDescent="0.35">
      <c r="A237" s="5" t="s">
        <v>497</v>
      </c>
      <c r="B237" s="5" t="s">
        <v>184</v>
      </c>
      <c r="C237" s="5" t="s">
        <v>62</v>
      </c>
      <c r="D237" s="5" t="s">
        <v>63</v>
      </c>
      <c r="E237" s="5" t="s">
        <v>19</v>
      </c>
      <c r="F237" s="6" t="s">
        <v>171</v>
      </c>
      <c r="G237" s="6" t="s">
        <v>207</v>
      </c>
      <c r="H237" s="7">
        <v>200</v>
      </c>
      <c r="I237" s="7">
        <v>143</v>
      </c>
      <c r="J237" s="7">
        <f t="shared" si="9"/>
        <v>57</v>
      </c>
      <c r="K237" s="7">
        <v>1250000</v>
      </c>
      <c r="L237" s="7">
        <f t="shared" si="10"/>
        <v>71250000</v>
      </c>
      <c r="M237" s="5" t="s">
        <v>35</v>
      </c>
      <c r="N237" s="6" t="str">
        <f t="shared" si="11"/>
        <v>Tersedia</v>
      </c>
      <c r="O237" s="5" t="s">
        <v>36</v>
      </c>
    </row>
    <row r="238" spans="1:15" x14ac:dyDescent="0.35">
      <c r="A238" s="2" t="s">
        <v>367</v>
      </c>
      <c r="B238" s="2" t="s">
        <v>138</v>
      </c>
      <c r="C238" s="2" t="s">
        <v>62</v>
      </c>
      <c r="D238" s="2" t="s">
        <v>63</v>
      </c>
      <c r="E238" s="2" t="s">
        <v>101</v>
      </c>
      <c r="F238" s="3" t="s">
        <v>363</v>
      </c>
      <c r="G238" s="3" t="s">
        <v>20</v>
      </c>
      <c r="H238" s="4">
        <v>10</v>
      </c>
      <c r="I238" s="4">
        <v>7</v>
      </c>
      <c r="J238" s="4">
        <f t="shared" si="9"/>
        <v>3</v>
      </c>
      <c r="K238" s="4">
        <v>450000</v>
      </c>
      <c r="L238" s="4">
        <f t="shared" si="10"/>
        <v>1350000</v>
      </c>
      <c r="M238" s="2" t="s">
        <v>85</v>
      </c>
      <c r="N238" s="3" t="str">
        <f t="shared" si="11"/>
        <v>Menipis</v>
      </c>
      <c r="O238" s="2" t="s">
        <v>31</v>
      </c>
    </row>
    <row r="239" spans="1:15" x14ac:dyDescent="0.35">
      <c r="A239" s="5" t="s">
        <v>498</v>
      </c>
      <c r="B239" s="5" t="s">
        <v>16</v>
      </c>
      <c r="C239" s="5" t="s">
        <v>17</v>
      </c>
      <c r="D239" s="5" t="s">
        <v>18</v>
      </c>
      <c r="E239" s="5" t="s">
        <v>47</v>
      </c>
      <c r="F239" s="6" t="s">
        <v>395</v>
      </c>
      <c r="G239" s="6" t="s">
        <v>499</v>
      </c>
      <c r="H239" s="7">
        <v>20</v>
      </c>
      <c r="I239" s="7">
        <v>7</v>
      </c>
      <c r="J239" s="7">
        <f t="shared" si="9"/>
        <v>13</v>
      </c>
      <c r="K239" s="7">
        <v>45000</v>
      </c>
      <c r="L239" s="7">
        <f t="shared" si="10"/>
        <v>585000</v>
      </c>
      <c r="M239" s="5" t="s">
        <v>22</v>
      </c>
      <c r="N239" s="6" t="str">
        <f t="shared" si="11"/>
        <v>Tersedia</v>
      </c>
      <c r="O239" s="5" t="s">
        <v>36</v>
      </c>
    </row>
    <row r="240" spans="1:15" x14ac:dyDescent="0.35">
      <c r="A240" s="2" t="s">
        <v>486</v>
      </c>
      <c r="B240" s="2" t="s">
        <v>217</v>
      </c>
      <c r="C240" s="2" t="s">
        <v>26</v>
      </c>
      <c r="D240" s="2" t="s">
        <v>27</v>
      </c>
      <c r="E240" s="2" t="s">
        <v>47</v>
      </c>
      <c r="F240" s="3" t="s">
        <v>84</v>
      </c>
      <c r="G240" s="3" t="s">
        <v>413</v>
      </c>
      <c r="H240" s="4">
        <v>50</v>
      </c>
      <c r="I240" s="4">
        <v>40</v>
      </c>
      <c r="J240" s="4">
        <f t="shared" si="9"/>
        <v>10</v>
      </c>
      <c r="K240" s="4">
        <v>55000</v>
      </c>
      <c r="L240" s="4">
        <f t="shared" si="10"/>
        <v>550000</v>
      </c>
      <c r="M240" s="2" t="s">
        <v>85</v>
      </c>
      <c r="N240" s="3" t="str">
        <f t="shared" si="11"/>
        <v>Tersedia</v>
      </c>
      <c r="O240" s="2" t="s">
        <v>59</v>
      </c>
    </row>
    <row r="241" spans="1:15" x14ac:dyDescent="0.35">
      <c r="A241" s="5" t="s">
        <v>500</v>
      </c>
      <c r="B241" s="5" t="s">
        <v>61</v>
      </c>
      <c r="C241" s="5" t="s">
        <v>62</v>
      </c>
      <c r="D241" s="5" t="s">
        <v>63</v>
      </c>
      <c r="E241" s="5" t="s">
        <v>19</v>
      </c>
      <c r="F241" s="6" t="s">
        <v>292</v>
      </c>
      <c r="G241" s="6" t="s">
        <v>375</v>
      </c>
      <c r="H241" s="7">
        <v>150</v>
      </c>
      <c r="I241" s="7">
        <v>65</v>
      </c>
      <c r="J241" s="7">
        <f t="shared" si="9"/>
        <v>85</v>
      </c>
      <c r="K241" s="7">
        <v>350000</v>
      </c>
      <c r="L241" s="7">
        <f t="shared" si="10"/>
        <v>29750000</v>
      </c>
      <c r="M241" s="5" t="s">
        <v>43</v>
      </c>
      <c r="N241" s="6" t="str">
        <f t="shared" si="11"/>
        <v>Tersedia</v>
      </c>
      <c r="O241" s="5" t="s">
        <v>70</v>
      </c>
    </row>
    <row r="242" spans="1:15" x14ac:dyDescent="0.35">
      <c r="A242" s="2" t="s">
        <v>321</v>
      </c>
      <c r="B242" s="2" t="s">
        <v>46</v>
      </c>
      <c r="C242" s="2" t="s">
        <v>26</v>
      </c>
      <c r="D242" s="2" t="s">
        <v>27</v>
      </c>
      <c r="E242" s="2" t="s">
        <v>56</v>
      </c>
      <c r="F242" s="3" t="s">
        <v>224</v>
      </c>
      <c r="G242" s="3"/>
      <c r="H242" s="4">
        <v>200</v>
      </c>
      <c r="I242" s="4">
        <v>0</v>
      </c>
      <c r="J242" s="4">
        <f t="shared" si="9"/>
        <v>200</v>
      </c>
      <c r="K242" s="4">
        <v>35000</v>
      </c>
      <c r="L242" s="4">
        <f t="shared" si="10"/>
        <v>7000000</v>
      </c>
      <c r="M242" s="2" t="s">
        <v>22</v>
      </c>
      <c r="N242" s="3" t="str">
        <f t="shared" si="11"/>
        <v>Tersedia</v>
      </c>
      <c r="O242" s="2" t="s">
        <v>59</v>
      </c>
    </row>
    <row r="243" spans="1:15" x14ac:dyDescent="0.35">
      <c r="A243" s="5" t="s">
        <v>501</v>
      </c>
      <c r="B243" s="5" t="s">
        <v>158</v>
      </c>
      <c r="C243" s="5" t="s">
        <v>26</v>
      </c>
      <c r="D243" s="5" t="s">
        <v>27</v>
      </c>
      <c r="E243" s="5" t="s">
        <v>52</v>
      </c>
      <c r="F243" s="6" t="s">
        <v>75</v>
      </c>
      <c r="G243" s="6" t="s">
        <v>502</v>
      </c>
      <c r="H243" s="7">
        <v>100</v>
      </c>
      <c r="I243" s="7">
        <v>64</v>
      </c>
      <c r="J243" s="7">
        <f t="shared" si="9"/>
        <v>36</v>
      </c>
      <c r="K243" s="7">
        <v>65000</v>
      </c>
      <c r="L243" s="7">
        <f t="shared" si="10"/>
        <v>2340000</v>
      </c>
      <c r="M243" s="5" t="s">
        <v>43</v>
      </c>
      <c r="N243" s="6" t="str">
        <f t="shared" si="11"/>
        <v>Tersedia</v>
      </c>
      <c r="O243" s="5" t="s">
        <v>59</v>
      </c>
    </row>
    <row r="244" spans="1:15" x14ac:dyDescent="0.35">
      <c r="A244" s="2" t="s">
        <v>503</v>
      </c>
      <c r="B244" s="2" t="s">
        <v>117</v>
      </c>
      <c r="C244" s="2" t="s">
        <v>81</v>
      </c>
      <c r="D244" s="2" t="s">
        <v>82</v>
      </c>
      <c r="E244" s="2" t="s">
        <v>52</v>
      </c>
      <c r="F244" s="3" t="s">
        <v>494</v>
      </c>
      <c r="G244" s="3" t="s">
        <v>112</v>
      </c>
      <c r="H244" s="4">
        <v>10</v>
      </c>
      <c r="I244" s="4">
        <v>8</v>
      </c>
      <c r="J244" s="4">
        <f t="shared" si="9"/>
        <v>2</v>
      </c>
      <c r="K244" s="4">
        <v>310000</v>
      </c>
      <c r="L244" s="4">
        <f t="shared" si="10"/>
        <v>620000</v>
      </c>
      <c r="M244" s="2" t="s">
        <v>22</v>
      </c>
      <c r="N244" s="3" t="str">
        <f t="shared" si="11"/>
        <v>Menipis</v>
      </c>
      <c r="O244" s="2" t="s">
        <v>31</v>
      </c>
    </row>
    <row r="245" spans="1:15" x14ac:dyDescent="0.35">
      <c r="A245" s="5" t="s">
        <v>79</v>
      </c>
      <c r="B245" s="5" t="s">
        <v>206</v>
      </c>
      <c r="C245" s="5" t="s">
        <v>73</v>
      </c>
      <c r="D245" s="5" t="s">
        <v>74</v>
      </c>
      <c r="E245" s="5" t="s">
        <v>34</v>
      </c>
      <c r="F245" s="6" t="s">
        <v>404</v>
      </c>
      <c r="G245" s="6" t="s">
        <v>121</v>
      </c>
      <c r="H245" s="7">
        <v>20</v>
      </c>
      <c r="I245" s="7">
        <v>17</v>
      </c>
      <c r="J245" s="7">
        <f t="shared" si="9"/>
        <v>3</v>
      </c>
      <c r="K245" s="7">
        <v>45000</v>
      </c>
      <c r="L245" s="7">
        <f t="shared" si="10"/>
        <v>135000</v>
      </c>
      <c r="M245" s="5" t="s">
        <v>85</v>
      </c>
      <c r="N245" s="6" t="str">
        <f t="shared" si="11"/>
        <v>Menipis</v>
      </c>
      <c r="O245" s="5" t="s">
        <v>86</v>
      </c>
    </row>
    <row r="246" spans="1:15" x14ac:dyDescent="0.35">
      <c r="A246" s="2" t="s">
        <v>504</v>
      </c>
      <c r="B246" s="2" t="s">
        <v>16</v>
      </c>
      <c r="C246" s="2" t="s">
        <v>17</v>
      </c>
      <c r="D246" s="2" t="s">
        <v>18</v>
      </c>
      <c r="E246" s="2" t="s">
        <v>96</v>
      </c>
      <c r="F246" s="3" t="s">
        <v>425</v>
      </c>
      <c r="G246" s="3" t="s">
        <v>128</v>
      </c>
      <c r="H246" s="4">
        <v>200</v>
      </c>
      <c r="I246" s="4">
        <v>102</v>
      </c>
      <c r="J246" s="4">
        <f t="shared" si="9"/>
        <v>98</v>
      </c>
      <c r="K246" s="4">
        <v>45000</v>
      </c>
      <c r="L246" s="4">
        <f t="shared" si="10"/>
        <v>4410000</v>
      </c>
      <c r="M246" s="2" t="s">
        <v>22</v>
      </c>
      <c r="N246" s="3" t="str">
        <f t="shared" si="11"/>
        <v>Tersedia</v>
      </c>
      <c r="O246" s="2" t="s">
        <v>23</v>
      </c>
    </row>
    <row r="247" spans="1:15" x14ac:dyDescent="0.35">
      <c r="A247" s="5" t="s">
        <v>505</v>
      </c>
      <c r="B247" s="5" t="s">
        <v>184</v>
      </c>
      <c r="C247" s="5" t="s">
        <v>62</v>
      </c>
      <c r="D247" s="5" t="s">
        <v>63</v>
      </c>
      <c r="E247" s="5" t="s">
        <v>64</v>
      </c>
      <c r="F247" s="6" t="s">
        <v>448</v>
      </c>
      <c r="G247" s="6" t="s">
        <v>506</v>
      </c>
      <c r="H247" s="7">
        <v>20</v>
      </c>
      <c r="I247" s="7">
        <v>20</v>
      </c>
      <c r="J247" s="7">
        <f t="shared" si="9"/>
        <v>0</v>
      </c>
      <c r="K247" s="7">
        <v>1250000</v>
      </c>
      <c r="L247" s="7">
        <f t="shared" si="10"/>
        <v>0</v>
      </c>
      <c r="M247" s="5" t="s">
        <v>85</v>
      </c>
      <c r="N247" s="6" t="str">
        <f t="shared" si="11"/>
        <v>Habis</v>
      </c>
      <c r="O247" s="5" t="s">
        <v>44</v>
      </c>
    </row>
    <row r="248" spans="1:15" x14ac:dyDescent="0.35">
      <c r="A248" s="2" t="s">
        <v>493</v>
      </c>
      <c r="B248" s="2" t="s">
        <v>72</v>
      </c>
      <c r="C248" s="2" t="s">
        <v>73</v>
      </c>
      <c r="D248" s="2" t="s">
        <v>74</v>
      </c>
      <c r="E248" s="2" t="s">
        <v>19</v>
      </c>
      <c r="F248" s="3" t="s">
        <v>341</v>
      </c>
      <c r="G248" s="3" t="s">
        <v>110</v>
      </c>
      <c r="H248" s="4">
        <v>200</v>
      </c>
      <c r="I248" s="4">
        <v>34</v>
      </c>
      <c r="J248" s="4">
        <f t="shared" si="9"/>
        <v>166</v>
      </c>
      <c r="K248" s="4">
        <v>240000</v>
      </c>
      <c r="L248" s="4">
        <f t="shared" si="10"/>
        <v>39840000</v>
      </c>
      <c r="M248" s="2" t="s">
        <v>22</v>
      </c>
      <c r="N248" s="3" t="str">
        <f t="shared" si="11"/>
        <v>Tersedia</v>
      </c>
      <c r="O248" s="2" t="s">
        <v>31</v>
      </c>
    </row>
    <row r="249" spans="1:15" x14ac:dyDescent="0.35">
      <c r="A249" s="5" t="s">
        <v>507</v>
      </c>
      <c r="B249" s="5" t="s">
        <v>38</v>
      </c>
      <c r="C249" s="5" t="s">
        <v>39</v>
      </c>
      <c r="D249" s="5" t="s">
        <v>40</v>
      </c>
      <c r="E249" s="5" t="s">
        <v>52</v>
      </c>
      <c r="F249" s="6" t="s">
        <v>508</v>
      </c>
      <c r="G249" s="6" t="s">
        <v>509</v>
      </c>
      <c r="H249" s="7">
        <v>10</v>
      </c>
      <c r="I249" s="7">
        <v>2</v>
      </c>
      <c r="J249" s="7">
        <f t="shared" si="9"/>
        <v>8</v>
      </c>
      <c r="K249" s="7">
        <v>4500000</v>
      </c>
      <c r="L249" s="7">
        <f t="shared" si="10"/>
        <v>36000000</v>
      </c>
      <c r="M249" s="5" t="s">
        <v>85</v>
      </c>
      <c r="N249" s="6" t="str">
        <f t="shared" si="11"/>
        <v>Tersedia</v>
      </c>
      <c r="O249" s="5" t="s">
        <v>70</v>
      </c>
    </row>
    <row r="250" spans="1:15" x14ac:dyDescent="0.35">
      <c r="A250" s="2" t="s">
        <v>507</v>
      </c>
      <c r="B250" s="2" t="s">
        <v>67</v>
      </c>
      <c r="C250" s="2" t="s">
        <v>39</v>
      </c>
      <c r="D250" s="2" t="s">
        <v>40</v>
      </c>
      <c r="E250" s="2" t="s">
        <v>101</v>
      </c>
      <c r="F250" s="3" t="s">
        <v>42</v>
      </c>
      <c r="G250" s="3" t="s">
        <v>510</v>
      </c>
      <c r="H250" s="4">
        <v>5</v>
      </c>
      <c r="I250" s="4">
        <v>4</v>
      </c>
      <c r="J250" s="4">
        <f t="shared" si="9"/>
        <v>1</v>
      </c>
      <c r="K250" s="4">
        <v>3800000</v>
      </c>
      <c r="L250" s="4">
        <f t="shared" si="10"/>
        <v>3800000</v>
      </c>
      <c r="M250" s="2" t="s">
        <v>30</v>
      </c>
      <c r="N250" s="3" t="str">
        <f t="shared" si="11"/>
        <v>Menipis</v>
      </c>
      <c r="O250" s="2" t="s">
        <v>70</v>
      </c>
    </row>
    <row r="251" spans="1:15" x14ac:dyDescent="0.35">
      <c r="A251" s="5" t="s">
        <v>460</v>
      </c>
      <c r="B251" s="5" t="s">
        <v>117</v>
      </c>
      <c r="C251" s="5" t="s">
        <v>81</v>
      </c>
      <c r="D251" s="5" t="s">
        <v>82</v>
      </c>
      <c r="E251" s="5" t="s">
        <v>68</v>
      </c>
      <c r="F251" s="6" t="s">
        <v>255</v>
      </c>
      <c r="G251" s="6" t="s">
        <v>483</v>
      </c>
      <c r="H251" s="7">
        <v>200</v>
      </c>
      <c r="I251" s="7">
        <v>61</v>
      </c>
      <c r="J251" s="7">
        <f t="shared" si="9"/>
        <v>139</v>
      </c>
      <c r="K251" s="7">
        <v>310000</v>
      </c>
      <c r="L251" s="7">
        <f t="shared" si="10"/>
        <v>43090000</v>
      </c>
      <c r="M251" s="5" t="s">
        <v>43</v>
      </c>
      <c r="N251" s="6" t="str">
        <f t="shared" si="11"/>
        <v>Tersedia</v>
      </c>
      <c r="O251" s="5" t="s">
        <v>44</v>
      </c>
    </row>
    <row r="252" spans="1:15" x14ac:dyDescent="0.35">
      <c r="A252" s="2" t="s">
        <v>507</v>
      </c>
      <c r="B252" s="2" t="s">
        <v>144</v>
      </c>
      <c r="C252" s="2" t="s">
        <v>39</v>
      </c>
      <c r="D252" s="2" t="s">
        <v>40</v>
      </c>
      <c r="E252" s="2" t="s">
        <v>96</v>
      </c>
      <c r="F252" s="3" t="s">
        <v>377</v>
      </c>
      <c r="G252" s="3" t="s">
        <v>511</v>
      </c>
      <c r="H252" s="4">
        <v>2</v>
      </c>
      <c r="I252" s="4">
        <v>1</v>
      </c>
      <c r="J252" s="4">
        <f t="shared" si="9"/>
        <v>1</v>
      </c>
      <c r="K252" s="4">
        <v>2450000</v>
      </c>
      <c r="L252" s="4">
        <f t="shared" si="10"/>
        <v>2450000</v>
      </c>
      <c r="M252" s="2" t="s">
        <v>85</v>
      </c>
      <c r="N252" s="3" t="str">
        <f t="shared" si="11"/>
        <v>Menipis</v>
      </c>
      <c r="O252" s="2" t="s">
        <v>86</v>
      </c>
    </row>
    <row r="253" spans="1:15" x14ac:dyDescent="0.35">
      <c r="A253" s="5" t="s">
        <v>512</v>
      </c>
      <c r="B253" s="5" t="s">
        <v>88</v>
      </c>
      <c r="C253" s="5" t="s">
        <v>73</v>
      </c>
      <c r="D253" s="5" t="s">
        <v>74</v>
      </c>
      <c r="E253" s="5" t="s">
        <v>47</v>
      </c>
      <c r="F253" s="6" t="s">
        <v>89</v>
      </c>
      <c r="G253" s="6" t="s">
        <v>118</v>
      </c>
      <c r="H253" s="7">
        <v>150</v>
      </c>
      <c r="I253" s="7">
        <v>62</v>
      </c>
      <c r="J253" s="7">
        <f t="shared" si="9"/>
        <v>88</v>
      </c>
      <c r="K253" s="7">
        <v>650000</v>
      </c>
      <c r="L253" s="7">
        <f t="shared" si="10"/>
        <v>57200000</v>
      </c>
      <c r="M253" s="5" t="s">
        <v>35</v>
      </c>
      <c r="N253" s="6" t="str">
        <f t="shared" si="11"/>
        <v>Tersedia</v>
      </c>
      <c r="O253" s="5" t="s">
        <v>70</v>
      </c>
    </row>
    <row r="254" spans="1:15" x14ac:dyDescent="0.35">
      <c r="A254" s="2" t="s">
        <v>223</v>
      </c>
      <c r="B254" s="2" t="s">
        <v>150</v>
      </c>
      <c r="C254" s="2" t="s">
        <v>81</v>
      </c>
      <c r="D254" s="2" t="s">
        <v>82</v>
      </c>
      <c r="E254" s="2" t="s">
        <v>64</v>
      </c>
      <c r="F254" s="3" t="s">
        <v>130</v>
      </c>
      <c r="G254" s="3" t="s">
        <v>285</v>
      </c>
      <c r="H254" s="4">
        <v>10</v>
      </c>
      <c r="I254" s="4">
        <v>6</v>
      </c>
      <c r="J254" s="4">
        <f t="shared" si="9"/>
        <v>4</v>
      </c>
      <c r="K254" s="4">
        <v>85000</v>
      </c>
      <c r="L254" s="4">
        <f t="shared" si="10"/>
        <v>340000</v>
      </c>
      <c r="M254" s="2" t="s">
        <v>35</v>
      </c>
      <c r="N254" s="3" t="str">
        <f t="shared" si="11"/>
        <v>Menipis</v>
      </c>
      <c r="O254" s="2" t="s">
        <v>70</v>
      </c>
    </row>
    <row r="255" spans="1:15" x14ac:dyDescent="0.35">
      <c r="A255" s="5" t="s">
        <v>498</v>
      </c>
      <c r="B255" s="5" t="s">
        <v>165</v>
      </c>
      <c r="C255" s="5" t="s">
        <v>17</v>
      </c>
      <c r="D255" s="5" t="s">
        <v>18</v>
      </c>
      <c r="E255" s="5" t="s">
        <v>56</v>
      </c>
      <c r="F255" s="6" t="s">
        <v>429</v>
      </c>
      <c r="G255" s="6"/>
      <c r="H255" s="7">
        <v>100</v>
      </c>
      <c r="I255" s="7">
        <v>0</v>
      </c>
      <c r="J255" s="7">
        <f t="shared" si="9"/>
        <v>100</v>
      </c>
      <c r="K255" s="7">
        <v>35000</v>
      </c>
      <c r="L255" s="7">
        <f t="shared" si="10"/>
        <v>3500000</v>
      </c>
      <c r="M255" s="5" t="s">
        <v>85</v>
      </c>
      <c r="N255" s="6" t="str">
        <f t="shared" si="11"/>
        <v>Tersedia</v>
      </c>
      <c r="O255" s="5" t="s">
        <v>59</v>
      </c>
    </row>
    <row r="256" spans="1:15" x14ac:dyDescent="0.35">
      <c r="A256" s="2" t="s">
        <v>410</v>
      </c>
      <c r="B256" s="2" t="s">
        <v>38</v>
      </c>
      <c r="C256" s="2" t="s">
        <v>39</v>
      </c>
      <c r="D256" s="2" t="s">
        <v>40</v>
      </c>
      <c r="E256" s="2" t="s">
        <v>52</v>
      </c>
      <c r="F256" s="3" t="s">
        <v>513</v>
      </c>
      <c r="G256" s="3" t="s">
        <v>514</v>
      </c>
      <c r="H256" s="4">
        <v>5</v>
      </c>
      <c r="I256" s="4">
        <v>1</v>
      </c>
      <c r="J256" s="4">
        <f t="shared" si="9"/>
        <v>4</v>
      </c>
      <c r="K256" s="4">
        <v>4500000</v>
      </c>
      <c r="L256" s="4">
        <f t="shared" si="10"/>
        <v>18000000</v>
      </c>
      <c r="M256" s="2" t="s">
        <v>35</v>
      </c>
      <c r="N256" s="3" t="str">
        <f t="shared" si="11"/>
        <v>Menipis</v>
      </c>
      <c r="O256" s="2" t="s">
        <v>23</v>
      </c>
    </row>
    <row r="257" spans="1:15" x14ac:dyDescent="0.35">
      <c r="A257" s="5" t="s">
        <v>515</v>
      </c>
      <c r="B257" s="5" t="s">
        <v>217</v>
      </c>
      <c r="C257" s="5" t="s">
        <v>26</v>
      </c>
      <c r="D257" s="5" t="s">
        <v>27</v>
      </c>
      <c r="E257" s="5" t="s">
        <v>19</v>
      </c>
      <c r="F257" s="6" t="s">
        <v>516</v>
      </c>
      <c r="G257" s="6" t="s">
        <v>28</v>
      </c>
      <c r="H257" s="7">
        <v>100</v>
      </c>
      <c r="I257" s="7">
        <v>93</v>
      </c>
      <c r="J257" s="7">
        <f t="shared" si="9"/>
        <v>7</v>
      </c>
      <c r="K257" s="7">
        <v>55000</v>
      </c>
      <c r="L257" s="7">
        <f t="shared" si="10"/>
        <v>385000</v>
      </c>
      <c r="M257" s="5" t="s">
        <v>85</v>
      </c>
      <c r="N257" s="6" t="str">
        <f t="shared" si="11"/>
        <v>Tersedia</v>
      </c>
      <c r="O257" s="5" t="s">
        <v>31</v>
      </c>
    </row>
    <row r="258" spans="1:15" x14ac:dyDescent="0.35">
      <c r="A258" s="2" t="s">
        <v>192</v>
      </c>
      <c r="B258" s="2" t="s">
        <v>123</v>
      </c>
      <c r="C258" s="2" t="s">
        <v>81</v>
      </c>
      <c r="D258" s="2" t="s">
        <v>82</v>
      </c>
      <c r="E258" s="2" t="s">
        <v>52</v>
      </c>
      <c r="F258" s="3" t="s">
        <v>105</v>
      </c>
      <c r="G258" s="3" t="s">
        <v>517</v>
      </c>
      <c r="H258" s="4">
        <v>200</v>
      </c>
      <c r="I258" s="4">
        <v>147</v>
      </c>
      <c r="J258" s="4">
        <f t="shared" ref="J258:J311" si="12">H258-I258</f>
        <v>53</v>
      </c>
      <c r="K258" s="4">
        <v>1750000</v>
      </c>
      <c r="L258" s="4">
        <f t="shared" ref="L258:L311" si="13">J258*K258</f>
        <v>92750000</v>
      </c>
      <c r="M258" s="2" t="s">
        <v>35</v>
      </c>
      <c r="N258" s="3" t="str">
        <f t="shared" ref="N258:N311" si="14">IF(J258&lt;=0,"Habis",IF(J258&lt;=5,"Menipis","Tersedia"))</f>
        <v>Tersedia</v>
      </c>
      <c r="O258" s="2" t="s">
        <v>44</v>
      </c>
    </row>
    <row r="259" spans="1:15" x14ac:dyDescent="0.35">
      <c r="A259" s="5" t="s">
        <v>126</v>
      </c>
      <c r="B259" s="5" t="s">
        <v>144</v>
      </c>
      <c r="C259" s="5" t="s">
        <v>39</v>
      </c>
      <c r="D259" s="5" t="s">
        <v>40</v>
      </c>
      <c r="E259" s="5" t="s">
        <v>68</v>
      </c>
      <c r="F259" s="6" t="s">
        <v>518</v>
      </c>
      <c r="G259" s="6"/>
      <c r="H259" s="7">
        <v>2</v>
      </c>
      <c r="I259" s="7">
        <v>0</v>
      </c>
      <c r="J259" s="7">
        <f t="shared" si="12"/>
        <v>2</v>
      </c>
      <c r="K259" s="7">
        <v>2450000</v>
      </c>
      <c r="L259" s="7">
        <f t="shared" si="13"/>
        <v>4900000</v>
      </c>
      <c r="M259" s="5" t="s">
        <v>43</v>
      </c>
      <c r="N259" s="6" t="str">
        <f t="shared" si="14"/>
        <v>Menipis</v>
      </c>
      <c r="O259" s="5" t="s">
        <v>31</v>
      </c>
    </row>
    <row r="260" spans="1:15" x14ac:dyDescent="0.35">
      <c r="A260" s="2" t="s">
        <v>519</v>
      </c>
      <c r="B260" s="2" t="s">
        <v>127</v>
      </c>
      <c r="C260" s="2" t="s">
        <v>39</v>
      </c>
      <c r="D260" s="2" t="s">
        <v>40</v>
      </c>
      <c r="E260" s="2" t="s">
        <v>64</v>
      </c>
      <c r="F260" s="3" t="s">
        <v>520</v>
      </c>
      <c r="G260" s="3" t="s">
        <v>97</v>
      </c>
      <c r="H260" s="4">
        <v>5</v>
      </c>
      <c r="I260" s="4">
        <v>1</v>
      </c>
      <c r="J260" s="4">
        <f t="shared" si="12"/>
        <v>4</v>
      </c>
      <c r="K260" s="4">
        <v>1550000</v>
      </c>
      <c r="L260" s="4">
        <f t="shared" si="13"/>
        <v>6200000</v>
      </c>
      <c r="M260" s="2" t="s">
        <v>30</v>
      </c>
      <c r="N260" s="3" t="str">
        <f t="shared" si="14"/>
        <v>Menipis</v>
      </c>
      <c r="O260" s="2" t="s">
        <v>23</v>
      </c>
    </row>
    <row r="261" spans="1:15" x14ac:dyDescent="0.35">
      <c r="A261" s="5" t="s">
        <v>521</v>
      </c>
      <c r="B261" s="5" t="s">
        <v>165</v>
      </c>
      <c r="C261" s="5" t="s">
        <v>17</v>
      </c>
      <c r="D261" s="5" t="s">
        <v>18</v>
      </c>
      <c r="E261" s="5" t="s">
        <v>47</v>
      </c>
      <c r="F261" s="6" t="s">
        <v>336</v>
      </c>
      <c r="G261" s="6" t="s">
        <v>522</v>
      </c>
      <c r="H261" s="7">
        <v>50</v>
      </c>
      <c r="I261" s="7">
        <v>26</v>
      </c>
      <c r="J261" s="7">
        <f t="shared" si="12"/>
        <v>24</v>
      </c>
      <c r="K261" s="7">
        <v>35000</v>
      </c>
      <c r="L261" s="7">
        <f t="shared" si="13"/>
        <v>840000</v>
      </c>
      <c r="M261" s="5" t="s">
        <v>22</v>
      </c>
      <c r="N261" s="6" t="str">
        <f t="shared" si="14"/>
        <v>Tersedia</v>
      </c>
      <c r="O261" s="5" t="s">
        <v>59</v>
      </c>
    </row>
    <row r="262" spans="1:15" x14ac:dyDescent="0.35">
      <c r="A262" s="2" t="s">
        <v>523</v>
      </c>
      <c r="B262" s="2" t="s">
        <v>88</v>
      </c>
      <c r="C262" s="2" t="s">
        <v>73</v>
      </c>
      <c r="D262" s="2" t="s">
        <v>74</v>
      </c>
      <c r="E262" s="2" t="s">
        <v>52</v>
      </c>
      <c r="F262" s="3" t="s">
        <v>291</v>
      </c>
      <c r="G262" s="3" t="s">
        <v>425</v>
      </c>
      <c r="H262" s="4">
        <v>150</v>
      </c>
      <c r="I262" s="4">
        <v>60</v>
      </c>
      <c r="J262" s="4">
        <f t="shared" si="12"/>
        <v>90</v>
      </c>
      <c r="K262" s="4">
        <v>650000</v>
      </c>
      <c r="L262" s="4">
        <f t="shared" si="13"/>
        <v>58500000</v>
      </c>
      <c r="M262" s="2" t="s">
        <v>30</v>
      </c>
      <c r="N262" s="3" t="str">
        <f t="shared" si="14"/>
        <v>Tersedia</v>
      </c>
      <c r="O262" s="2" t="s">
        <v>70</v>
      </c>
    </row>
    <row r="263" spans="1:15" x14ac:dyDescent="0.35">
      <c r="A263" s="5" t="s">
        <v>221</v>
      </c>
      <c r="B263" s="5" t="s">
        <v>117</v>
      </c>
      <c r="C263" s="5" t="s">
        <v>81</v>
      </c>
      <c r="D263" s="5" t="s">
        <v>82</v>
      </c>
      <c r="E263" s="5" t="s">
        <v>151</v>
      </c>
      <c r="F263" s="6" t="s">
        <v>136</v>
      </c>
      <c r="G263" s="6" t="s">
        <v>220</v>
      </c>
      <c r="H263" s="7">
        <v>50</v>
      </c>
      <c r="I263" s="7">
        <v>16</v>
      </c>
      <c r="J263" s="7">
        <f t="shared" si="12"/>
        <v>34</v>
      </c>
      <c r="K263" s="7">
        <v>310000</v>
      </c>
      <c r="L263" s="7">
        <f t="shared" si="13"/>
        <v>10540000</v>
      </c>
      <c r="M263" s="5" t="s">
        <v>85</v>
      </c>
      <c r="N263" s="6" t="str">
        <f t="shared" si="14"/>
        <v>Tersedia</v>
      </c>
      <c r="O263" s="5" t="s">
        <v>59</v>
      </c>
    </row>
    <row r="264" spans="1:15" x14ac:dyDescent="0.35">
      <c r="A264" s="2" t="s">
        <v>524</v>
      </c>
      <c r="B264" s="2" t="s">
        <v>114</v>
      </c>
      <c r="C264" s="2" t="s">
        <v>17</v>
      </c>
      <c r="D264" s="2" t="s">
        <v>18</v>
      </c>
      <c r="E264" s="2" t="s">
        <v>68</v>
      </c>
      <c r="F264" s="3" t="s">
        <v>525</v>
      </c>
      <c r="G264" s="3"/>
      <c r="H264" s="4">
        <v>200</v>
      </c>
      <c r="I264" s="4">
        <v>0</v>
      </c>
      <c r="J264" s="4">
        <f t="shared" si="12"/>
        <v>200</v>
      </c>
      <c r="K264" s="4">
        <v>85000</v>
      </c>
      <c r="L264" s="4">
        <f t="shared" si="13"/>
        <v>17000000</v>
      </c>
      <c r="M264" s="2" t="s">
        <v>35</v>
      </c>
      <c r="N264" s="3" t="str">
        <f t="shared" si="14"/>
        <v>Tersedia</v>
      </c>
      <c r="O264" s="2" t="s">
        <v>23</v>
      </c>
    </row>
    <row r="265" spans="1:15" x14ac:dyDescent="0.35">
      <c r="A265" s="5" t="s">
        <v>492</v>
      </c>
      <c r="B265" s="5" t="s">
        <v>117</v>
      </c>
      <c r="C265" s="5" t="s">
        <v>81</v>
      </c>
      <c r="D265" s="5" t="s">
        <v>82</v>
      </c>
      <c r="E265" s="5" t="s">
        <v>151</v>
      </c>
      <c r="F265" s="6" t="s">
        <v>264</v>
      </c>
      <c r="G265" s="6" t="s">
        <v>526</v>
      </c>
      <c r="H265" s="7">
        <v>200</v>
      </c>
      <c r="I265" s="7">
        <v>123</v>
      </c>
      <c r="J265" s="7">
        <f t="shared" si="12"/>
        <v>77</v>
      </c>
      <c r="K265" s="7">
        <v>310000</v>
      </c>
      <c r="L265" s="7">
        <f t="shared" si="13"/>
        <v>23870000</v>
      </c>
      <c r="M265" s="5" t="s">
        <v>22</v>
      </c>
      <c r="N265" s="6" t="str">
        <f t="shared" si="14"/>
        <v>Tersedia</v>
      </c>
      <c r="O265" s="5" t="s">
        <v>86</v>
      </c>
    </row>
    <row r="266" spans="1:15" x14ac:dyDescent="0.35">
      <c r="A266" s="2" t="s">
        <v>353</v>
      </c>
      <c r="B266" s="2" t="s">
        <v>80</v>
      </c>
      <c r="C266" s="2" t="s">
        <v>81</v>
      </c>
      <c r="D266" s="2" t="s">
        <v>82</v>
      </c>
      <c r="E266" s="2" t="s">
        <v>64</v>
      </c>
      <c r="F266" s="3" t="s">
        <v>451</v>
      </c>
      <c r="G266" s="3" t="s">
        <v>405</v>
      </c>
      <c r="H266" s="4">
        <v>20</v>
      </c>
      <c r="I266" s="4">
        <v>19</v>
      </c>
      <c r="J266" s="4">
        <f t="shared" si="12"/>
        <v>1</v>
      </c>
      <c r="K266" s="4">
        <v>280000</v>
      </c>
      <c r="L266" s="4">
        <f t="shared" si="13"/>
        <v>280000</v>
      </c>
      <c r="M266" s="2" t="s">
        <v>22</v>
      </c>
      <c r="N266" s="3" t="str">
        <f t="shared" si="14"/>
        <v>Menipis</v>
      </c>
      <c r="O266" s="2" t="s">
        <v>59</v>
      </c>
    </row>
    <row r="267" spans="1:15" x14ac:dyDescent="0.35">
      <c r="A267" s="5" t="s">
        <v>87</v>
      </c>
      <c r="B267" s="5" t="s">
        <v>80</v>
      </c>
      <c r="C267" s="5" t="s">
        <v>81</v>
      </c>
      <c r="D267" s="5" t="s">
        <v>82</v>
      </c>
      <c r="E267" s="5" t="s">
        <v>151</v>
      </c>
      <c r="F267" s="6" t="s">
        <v>289</v>
      </c>
      <c r="G267" s="6" t="s">
        <v>527</v>
      </c>
      <c r="H267" s="7">
        <v>200</v>
      </c>
      <c r="I267" s="7">
        <v>68</v>
      </c>
      <c r="J267" s="7">
        <f t="shared" si="12"/>
        <v>132</v>
      </c>
      <c r="K267" s="7">
        <v>280000</v>
      </c>
      <c r="L267" s="7">
        <f t="shared" si="13"/>
        <v>36960000</v>
      </c>
      <c r="M267" s="5" t="s">
        <v>30</v>
      </c>
      <c r="N267" s="6" t="str">
        <f t="shared" si="14"/>
        <v>Tersedia</v>
      </c>
      <c r="O267" s="5" t="s">
        <v>23</v>
      </c>
    </row>
    <row r="268" spans="1:15" x14ac:dyDescent="0.35">
      <c r="A268" s="2" t="s">
        <v>528</v>
      </c>
      <c r="B268" s="2" t="s">
        <v>206</v>
      </c>
      <c r="C268" s="2" t="s">
        <v>73</v>
      </c>
      <c r="D268" s="2" t="s">
        <v>74</v>
      </c>
      <c r="E268" s="2" t="s">
        <v>52</v>
      </c>
      <c r="F268" s="3" t="s">
        <v>529</v>
      </c>
      <c r="G268" s="3" t="s">
        <v>146</v>
      </c>
      <c r="H268" s="4">
        <v>150</v>
      </c>
      <c r="I268" s="4">
        <v>127</v>
      </c>
      <c r="J268" s="4">
        <f t="shared" si="12"/>
        <v>23</v>
      </c>
      <c r="K268" s="4">
        <v>45000</v>
      </c>
      <c r="L268" s="4">
        <f t="shared" si="13"/>
        <v>1035000</v>
      </c>
      <c r="M268" s="2" t="s">
        <v>85</v>
      </c>
      <c r="N268" s="3" t="str">
        <f t="shared" si="14"/>
        <v>Tersedia</v>
      </c>
      <c r="O268" s="2" t="s">
        <v>70</v>
      </c>
    </row>
    <row r="269" spans="1:15" x14ac:dyDescent="0.35">
      <c r="A269" s="5" t="s">
        <v>530</v>
      </c>
      <c r="B269" s="5" t="s">
        <v>72</v>
      </c>
      <c r="C269" s="5" t="s">
        <v>73</v>
      </c>
      <c r="D269" s="5" t="s">
        <v>74</v>
      </c>
      <c r="E269" s="5" t="s">
        <v>47</v>
      </c>
      <c r="F269" s="6" t="s">
        <v>531</v>
      </c>
      <c r="G269" s="6" t="s">
        <v>222</v>
      </c>
      <c r="H269" s="7">
        <v>20</v>
      </c>
      <c r="I269" s="7">
        <v>5</v>
      </c>
      <c r="J269" s="7">
        <f t="shared" si="12"/>
        <v>15</v>
      </c>
      <c r="K269" s="7">
        <v>240000</v>
      </c>
      <c r="L269" s="7">
        <f t="shared" si="13"/>
        <v>3600000</v>
      </c>
      <c r="M269" s="5" t="s">
        <v>22</v>
      </c>
      <c r="N269" s="6" t="str">
        <f t="shared" si="14"/>
        <v>Tersedia</v>
      </c>
      <c r="O269" s="5" t="s">
        <v>23</v>
      </c>
    </row>
    <row r="270" spans="1:15" x14ac:dyDescent="0.35">
      <c r="A270" s="2" t="s">
        <v>94</v>
      </c>
      <c r="B270" s="2" t="s">
        <v>138</v>
      </c>
      <c r="C270" s="2" t="s">
        <v>62</v>
      </c>
      <c r="D270" s="2" t="s">
        <v>63</v>
      </c>
      <c r="E270" s="2" t="s">
        <v>34</v>
      </c>
      <c r="F270" s="3" t="s">
        <v>244</v>
      </c>
      <c r="G270" s="3" t="s">
        <v>163</v>
      </c>
      <c r="H270" s="4">
        <v>10</v>
      </c>
      <c r="I270" s="4">
        <v>2</v>
      </c>
      <c r="J270" s="4">
        <f t="shared" si="12"/>
        <v>8</v>
      </c>
      <c r="K270" s="4">
        <v>450000</v>
      </c>
      <c r="L270" s="4">
        <f t="shared" si="13"/>
        <v>3600000</v>
      </c>
      <c r="M270" s="2" t="s">
        <v>85</v>
      </c>
      <c r="N270" s="3" t="str">
        <f t="shared" si="14"/>
        <v>Tersedia</v>
      </c>
      <c r="O270" s="2" t="s">
        <v>36</v>
      </c>
    </row>
    <row r="271" spans="1:15" x14ac:dyDescent="0.35">
      <c r="A271" s="5" t="s">
        <v>532</v>
      </c>
      <c r="B271" s="5" t="s">
        <v>88</v>
      </c>
      <c r="C271" s="5" t="s">
        <v>73</v>
      </c>
      <c r="D271" s="5" t="s">
        <v>74</v>
      </c>
      <c r="E271" s="5" t="s">
        <v>47</v>
      </c>
      <c r="F271" s="6" t="s">
        <v>529</v>
      </c>
      <c r="G271" s="6" t="s">
        <v>300</v>
      </c>
      <c r="H271" s="7">
        <v>20</v>
      </c>
      <c r="I271" s="7">
        <v>17</v>
      </c>
      <c r="J271" s="7">
        <f t="shared" si="12"/>
        <v>3</v>
      </c>
      <c r="K271" s="7">
        <v>650000</v>
      </c>
      <c r="L271" s="7">
        <f t="shared" si="13"/>
        <v>1950000</v>
      </c>
      <c r="M271" s="5" t="s">
        <v>43</v>
      </c>
      <c r="N271" s="6" t="str">
        <f t="shared" si="14"/>
        <v>Menipis</v>
      </c>
      <c r="O271" s="5" t="s">
        <v>36</v>
      </c>
    </row>
    <row r="272" spans="1:15" x14ac:dyDescent="0.35">
      <c r="A272" s="2" t="s">
        <v>314</v>
      </c>
      <c r="B272" s="2" t="s">
        <v>67</v>
      </c>
      <c r="C272" s="2" t="s">
        <v>39</v>
      </c>
      <c r="D272" s="2" t="s">
        <v>40</v>
      </c>
      <c r="E272" s="2" t="s">
        <v>64</v>
      </c>
      <c r="F272" s="3" t="s">
        <v>274</v>
      </c>
      <c r="G272" s="3"/>
      <c r="H272" s="4">
        <v>10</v>
      </c>
      <c r="I272" s="4">
        <v>0</v>
      </c>
      <c r="J272" s="4">
        <f t="shared" si="12"/>
        <v>10</v>
      </c>
      <c r="K272" s="4">
        <v>3800000</v>
      </c>
      <c r="L272" s="4">
        <f t="shared" si="13"/>
        <v>38000000</v>
      </c>
      <c r="M272" s="2" t="s">
        <v>85</v>
      </c>
      <c r="N272" s="3" t="str">
        <f t="shared" si="14"/>
        <v>Tersedia</v>
      </c>
      <c r="O272" s="2" t="s">
        <v>36</v>
      </c>
    </row>
    <row r="273" spans="1:15" x14ac:dyDescent="0.35">
      <c r="A273" s="5" t="s">
        <v>533</v>
      </c>
      <c r="B273" s="5" t="s">
        <v>33</v>
      </c>
      <c r="C273" s="5" t="s">
        <v>26</v>
      </c>
      <c r="D273" s="5" t="s">
        <v>27</v>
      </c>
      <c r="E273" s="5" t="s">
        <v>47</v>
      </c>
      <c r="F273" s="6" t="s">
        <v>140</v>
      </c>
      <c r="G273" s="6" t="s">
        <v>534</v>
      </c>
      <c r="H273" s="7">
        <v>50</v>
      </c>
      <c r="I273" s="7">
        <v>50</v>
      </c>
      <c r="J273" s="7">
        <f t="shared" si="12"/>
        <v>0</v>
      </c>
      <c r="K273" s="7">
        <v>12000</v>
      </c>
      <c r="L273" s="7">
        <f t="shared" si="13"/>
        <v>0</v>
      </c>
      <c r="M273" s="5" t="s">
        <v>35</v>
      </c>
      <c r="N273" s="6" t="str">
        <f t="shared" si="14"/>
        <v>Habis</v>
      </c>
      <c r="O273" s="5" t="s">
        <v>31</v>
      </c>
    </row>
    <row r="274" spans="1:15" x14ac:dyDescent="0.35">
      <c r="A274" s="2" t="s">
        <v>535</v>
      </c>
      <c r="B274" s="2" t="s">
        <v>120</v>
      </c>
      <c r="C274" s="2" t="s">
        <v>73</v>
      </c>
      <c r="D274" s="2" t="s">
        <v>74</v>
      </c>
      <c r="E274" s="2" t="s">
        <v>151</v>
      </c>
      <c r="F274" s="3" t="s">
        <v>390</v>
      </c>
      <c r="G274" s="3" t="s">
        <v>58</v>
      </c>
      <c r="H274" s="4">
        <v>150</v>
      </c>
      <c r="I274" s="4">
        <v>112</v>
      </c>
      <c r="J274" s="4">
        <f t="shared" si="12"/>
        <v>38</v>
      </c>
      <c r="K274" s="4">
        <v>75000</v>
      </c>
      <c r="L274" s="4">
        <f t="shared" si="13"/>
        <v>2850000</v>
      </c>
      <c r="M274" s="2" t="s">
        <v>35</v>
      </c>
      <c r="N274" s="3" t="str">
        <f t="shared" si="14"/>
        <v>Tersedia</v>
      </c>
      <c r="O274" s="2" t="s">
        <v>86</v>
      </c>
    </row>
    <row r="275" spans="1:15" x14ac:dyDescent="0.35">
      <c r="A275" s="5" t="s">
        <v>122</v>
      </c>
      <c r="B275" s="5" t="s">
        <v>206</v>
      </c>
      <c r="C275" s="5" t="s">
        <v>73</v>
      </c>
      <c r="D275" s="5" t="s">
        <v>74</v>
      </c>
      <c r="E275" s="5" t="s">
        <v>56</v>
      </c>
      <c r="F275" s="6" t="s">
        <v>331</v>
      </c>
      <c r="G275" s="6" t="s">
        <v>177</v>
      </c>
      <c r="H275" s="7">
        <v>150</v>
      </c>
      <c r="I275" s="7">
        <v>129</v>
      </c>
      <c r="J275" s="7">
        <f t="shared" si="12"/>
        <v>21</v>
      </c>
      <c r="K275" s="7">
        <v>45000</v>
      </c>
      <c r="L275" s="7">
        <f t="shared" si="13"/>
        <v>945000</v>
      </c>
      <c r="M275" s="5" t="s">
        <v>22</v>
      </c>
      <c r="N275" s="6" t="str">
        <f t="shared" si="14"/>
        <v>Tersedia</v>
      </c>
      <c r="O275" s="5" t="s">
        <v>70</v>
      </c>
    </row>
    <row r="276" spans="1:15" x14ac:dyDescent="0.35">
      <c r="A276" s="2" t="s">
        <v>536</v>
      </c>
      <c r="B276" s="2" t="s">
        <v>67</v>
      </c>
      <c r="C276" s="2" t="s">
        <v>39</v>
      </c>
      <c r="D276" s="2" t="s">
        <v>40</v>
      </c>
      <c r="E276" s="2" t="s">
        <v>64</v>
      </c>
      <c r="F276" s="3" t="s">
        <v>537</v>
      </c>
      <c r="G276" s="3" t="s">
        <v>133</v>
      </c>
      <c r="H276" s="4">
        <v>2</v>
      </c>
      <c r="I276" s="4">
        <v>2</v>
      </c>
      <c r="J276" s="4">
        <f t="shared" si="12"/>
        <v>0</v>
      </c>
      <c r="K276" s="4">
        <v>3800000</v>
      </c>
      <c r="L276" s="4">
        <f t="shared" si="13"/>
        <v>0</v>
      </c>
      <c r="M276" s="2" t="s">
        <v>22</v>
      </c>
      <c r="N276" s="3" t="str">
        <f t="shared" si="14"/>
        <v>Habis</v>
      </c>
      <c r="O276" s="2" t="s">
        <v>23</v>
      </c>
    </row>
    <row r="277" spans="1:15" x14ac:dyDescent="0.35">
      <c r="A277" s="5" t="s">
        <v>538</v>
      </c>
      <c r="B277" s="5" t="s">
        <v>123</v>
      </c>
      <c r="C277" s="5" t="s">
        <v>81</v>
      </c>
      <c r="D277" s="5" t="s">
        <v>82</v>
      </c>
      <c r="E277" s="5" t="s">
        <v>19</v>
      </c>
      <c r="F277" s="6" t="s">
        <v>97</v>
      </c>
      <c r="G277" s="6"/>
      <c r="H277" s="7">
        <v>10</v>
      </c>
      <c r="I277" s="7">
        <v>0</v>
      </c>
      <c r="J277" s="7">
        <f t="shared" si="12"/>
        <v>10</v>
      </c>
      <c r="K277" s="7">
        <v>1750000</v>
      </c>
      <c r="L277" s="7">
        <f t="shared" si="13"/>
        <v>17500000</v>
      </c>
      <c r="M277" s="5" t="s">
        <v>22</v>
      </c>
      <c r="N277" s="6" t="str">
        <f t="shared" si="14"/>
        <v>Tersedia</v>
      </c>
      <c r="O277" s="5" t="s">
        <v>36</v>
      </c>
    </row>
    <row r="278" spans="1:15" x14ac:dyDescent="0.35">
      <c r="A278" s="2" t="s">
        <v>270</v>
      </c>
      <c r="B278" s="2" t="s">
        <v>158</v>
      </c>
      <c r="C278" s="2" t="s">
        <v>26</v>
      </c>
      <c r="D278" s="2" t="s">
        <v>27</v>
      </c>
      <c r="E278" s="2" t="s">
        <v>68</v>
      </c>
      <c r="F278" s="3" t="s">
        <v>539</v>
      </c>
      <c r="G278" s="3" t="s">
        <v>517</v>
      </c>
      <c r="H278" s="4">
        <v>200</v>
      </c>
      <c r="I278" s="4">
        <v>75</v>
      </c>
      <c r="J278" s="4">
        <f t="shared" si="12"/>
        <v>125</v>
      </c>
      <c r="K278" s="4">
        <v>65000</v>
      </c>
      <c r="L278" s="4">
        <f t="shared" si="13"/>
        <v>8125000</v>
      </c>
      <c r="M278" s="2" t="s">
        <v>30</v>
      </c>
      <c r="N278" s="3" t="str">
        <f t="shared" si="14"/>
        <v>Tersedia</v>
      </c>
      <c r="O278" s="2" t="s">
        <v>31</v>
      </c>
    </row>
    <row r="279" spans="1:15" x14ac:dyDescent="0.35">
      <c r="A279" s="5" t="s">
        <v>540</v>
      </c>
      <c r="B279" s="5" t="s">
        <v>67</v>
      </c>
      <c r="C279" s="5" t="s">
        <v>39</v>
      </c>
      <c r="D279" s="5" t="s">
        <v>40</v>
      </c>
      <c r="E279" s="5" t="s">
        <v>19</v>
      </c>
      <c r="F279" s="6" t="s">
        <v>541</v>
      </c>
      <c r="G279" s="6" t="s">
        <v>329</v>
      </c>
      <c r="H279" s="7">
        <v>10</v>
      </c>
      <c r="I279" s="7">
        <v>7</v>
      </c>
      <c r="J279" s="7">
        <f t="shared" si="12"/>
        <v>3</v>
      </c>
      <c r="K279" s="7">
        <v>3800000</v>
      </c>
      <c r="L279" s="7">
        <f t="shared" si="13"/>
        <v>11400000</v>
      </c>
      <c r="M279" s="5" t="s">
        <v>30</v>
      </c>
      <c r="N279" s="6" t="str">
        <f t="shared" si="14"/>
        <v>Menipis</v>
      </c>
      <c r="O279" s="5" t="s">
        <v>31</v>
      </c>
    </row>
    <row r="280" spans="1:15" x14ac:dyDescent="0.35">
      <c r="A280" s="2" t="s">
        <v>542</v>
      </c>
      <c r="B280" s="2" t="s">
        <v>72</v>
      </c>
      <c r="C280" s="2" t="s">
        <v>73</v>
      </c>
      <c r="D280" s="2" t="s">
        <v>74</v>
      </c>
      <c r="E280" s="2" t="s">
        <v>52</v>
      </c>
      <c r="F280" s="3" t="s">
        <v>520</v>
      </c>
      <c r="G280" s="3" t="s">
        <v>543</v>
      </c>
      <c r="H280" s="4">
        <v>100</v>
      </c>
      <c r="I280" s="4">
        <v>17</v>
      </c>
      <c r="J280" s="4">
        <f t="shared" si="12"/>
        <v>83</v>
      </c>
      <c r="K280" s="4">
        <v>240000</v>
      </c>
      <c r="L280" s="4">
        <f t="shared" si="13"/>
        <v>19920000</v>
      </c>
      <c r="M280" s="2" t="s">
        <v>35</v>
      </c>
      <c r="N280" s="3" t="str">
        <f t="shared" si="14"/>
        <v>Tersedia</v>
      </c>
      <c r="O280" s="2" t="s">
        <v>31</v>
      </c>
    </row>
    <row r="281" spans="1:15" x14ac:dyDescent="0.35">
      <c r="A281" s="5" t="s">
        <v>323</v>
      </c>
      <c r="B281" s="5" t="s">
        <v>25</v>
      </c>
      <c r="C281" s="5" t="s">
        <v>26</v>
      </c>
      <c r="D281" s="5" t="s">
        <v>27</v>
      </c>
      <c r="E281" s="5" t="s">
        <v>151</v>
      </c>
      <c r="F281" s="6" t="s">
        <v>509</v>
      </c>
      <c r="G281" s="6" t="s">
        <v>544</v>
      </c>
      <c r="H281" s="7">
        <v>100</v>
      </c>
      <c r="I281" s="7">
        <v>47</v>
      </c>
      <c r="J281" s="7">
        <f t="shared" si="12"/>
        <v>53</v>
      </c>
      <c r="K281" s="7">
        <v>45000</v>
      </c>
      <c r="L281" s="7">
        <f t="shared" si="13"/>
        <v>2385000</v>
      </c>
      <c r="M281" s="5" t="s">
        <v>85</v>
      </c>
      <c r="N281" s="6" t="str">
        <f t="shared" si="14"/>
        <v>Tersedia</v>
      </c>
      <c r="O281" s="5" t="s">
        <v>76</v>
      </c>
    </row>
    <row r="282" spans="1:15" x14ac:dyDescent="0.35">
      <c r="A282" s="2" t="s">
        <v>545</v>
      </c>
      <c r="B282" s="2" t="s">
        <v>38</v>
      </c>
      <c r="C282" s="2" t="s">
        <v>39</v>
      </c>
      <c r="D282" s="2" t="s">
        <v>40</v>
      </c>
      <c r="E282" s="2" t="s">
        <v>151</v>
      </c>
      <c r="F282" s="3" t="s">
        <v>196</v>
      </c>
      <c r="G282" s="3" t="s">
        <v>329</v>
      </c>
      <c r="H282" s="4">
        <v>2</v>
      </c>
      <c r="I282" s="4">
        <v>1</v>
      </c>
      <c r="J282" s="4">
        <f t="shared" si="12"/>
        <v>1</v>
      </c>
      <c r="K282" s="4">
        <v>4500000</v>
      </c>
      <c r="L282" s="4">
        <f t="shared" si="13"/>
        <v>4500000</v>
      </c>
      <c r="M282" s="2" t="s">
        <v>35</v>
      </c>
      <c r="N282" s="3" t="str">
        <f t="shared" si="14"/>
        <v>Menipis</v>
      </c>
      <c r="O282" s="2" t="s">
        <v>86</v>
      </c>
    </row>
    <row r="283" spans="1:15" x14ac:dyDescent="0.35">
      <c r="A283" s="5" t="s">
        <v>546</v>
      </c>
      <c r="B283" s="5" t="s">
        <v>16</v>
      </c>
      <c r="C283" s="5" t="s">
        <v>17</v>
      </c>
      <c r="D283" s="5" t="s">
        <v>18</v>
      </c>
      <c r="E283" s="5" t="s">
        <v>101</v>
      </c>
      <c r="F283" s="6" t="s">
        <v>247</v>
      </c>
      <c r="G283" s="6" t="s">
        <v>248</v>
      </c>
      <c r="H283" s="7">
        <v>10</v>
      </c>
      <c r="I283" s="7">
        <v>7</v>
      </c>
      <c r="J283" s="7">
        <f t="shared" si="12"/>
        <v>3</v>
      </c>
      <c r="K283" s="7">
        <v>45000</v>
      </c>
      <c r="L283" s="7">
        <f t="shared" si="13"/>
        <v>135000</v>
      </c>
      <c r="M283" s="5" t="s">
        <v>43</v>
      </c>
      <c r="N283" s="6" t="str">
        <f t="shared" si="14"/>
        <v>Menipis</v>
      </c>
      <c r="O283" s="5" t="s">
        <v>44</v>
      </c>
    </row>
    <row r="284" spans="1:15" x14ac:dyDescent="0.35">
      <c r="A284" s="2" t="s">
        <v>547</v>
      </c>
      <c r="B284" s="2" t="s">
        <v>51</v>
      </c>
      <c r="C284" s="2" t="s">
        <v>17</v>
      </c>
      <c r="D284" s="2" t="s">
        <v>18</v>
      </c>
      <c r="E284" s="2" t="s">
        <v>34</v>
      </c>
      <c r="F284" s="3" t="s">
        <v>267</v>
      </c>
      <c r="G284" s="3" t="s">
        <v>105</v>
      </c>
      <c r="H284" s="4">
        <v>10</v>
      </c>
      <c r="I284" s="4">
        <v>7</v>
      </c>
      <c r="J284" s="4">
        <f t="shared" si="12"/>
        <v>3</v>
      </c>
      <c r="K284" s="4">
        <v>150000</v>
      </c>
      <c r="L284" s="4">
        <f t="shared" si="13"/>
        <v>450000</v>
      </c>
      <c r="M284" s="2" t="s">
        <v>22</v>
      </c>
      <c r="N284" s="3" t="str">
        <f t="shared" si="14"/>
        <v>Menipis</v>
      </c>
      <c r="O284" s="2" t="s">
        <v>23</v>
      </c>
    </row>
    <row r="285" spans="1:15" x14ac:dyDescent="0.35">
      <c r="A285" s="5" t="s">
        <v>548</v>
      </c>
      <c r="B285" s="5" t="s">
        <v>108</v>
      </c>
      <c r="C285" s="5" t="s">
        <v>62</v>
      </c>
      <c r="D285" s="5" t="s">
        <v>63</v>
      </c>
      <c r="E285" s="5" t="s">
        <v>52</v>
      </c>
      <c r="F285" s="6" t="s">
        <v>140</v>
      </c>
      <c r="G285" s="6" t="s">
        <v>549</v>
      </c>
      <c r="H285" s="7">
        <v>10</v>
      </c>
      <c r="I285" s="7">
        <v>1</v>
      </c>
      <c r="J285" s="7">
        <f t="shared" si="12"/>
        <v>9</v>
      </c>
      <c r="K285" s="7">
        <v>650000</v>
      </c>
      <c r="L285" s="7">
        <f t="shared" si="13"/>
        <v>5850000</v>
      </c>
      <c r="M285" s="5" t="s">
        <v>30</v>
      </c>
      <c r="N285" s="6" t="str">
        <f t="shared" si="14"/>
        <v>Tersedia</v>
      </c>
      <c r="O285" s="5" t="s">
        <v>44</v>
      </c>
    </row>
    <row r="286" spans="1:15" x14ac:dyDescent="0.35">
      <c r="A286" s="2" t="s">
        <v>550</v>
      </c>
      <c r="B286" s="2" t="s">
        <v>16</v>
      </c>
      <c r="C286" s="2" t="s">
        <v>17</v>
      </c>
      <c r="D286" s="2" t="s">
        <v>18</v>
      </c>
      <c r="E286" s="2" t="s">
        <v>19</v>
      </c>
      <c r="F286" s="3" t="s">
        <v>363</v>
      </c>
      <c r="G286" s="3" t="s">
        <v>20</v>
      </c>
      <c r="H286" s="4">
        <v>150</v>
      </c>
      <c r="I286" s="4">
        <v>127</v>
      </c>
      <c r="J286" s="4">
        <f t="shared" si="12"/>
        <v>23</v>
      </c>
      <c r="K286" s="4">
        <v>45000</v>
      </c>
      <c r="L286" s="4">
        <f t="shared" si="13"/>
        <v>1035000</v>
      </c>
      <c r="M286" s="2" t="s">
        <v>43</v>
      </c>
      <c r="N286" s="3" t="str">
        <f t="shared" si="14"/>
        <v>Tersedia</v>
      </c>
      <c r="O286" s="2" t="s">
        <v>76</v>
      </c>
    </row>
    <row r="287" spans="1:15" x14ac:dyDescent="0.35">
      <c r="A287" s="5" t="s">
        <v>45</v>
      </c>
      <c r="B287" s="5" t="s">
        <v>33</v>
      </c>
      <c r="C287" s="5" t="s">
        <v>26</v>
      </c>
      <c r="D287" s="5" t="s">
        <v>27</v>
      </c>
      <c r="E287" s="5" t="s">
        <v>56</v>
      </c>
      <c r="F287" s="6" t="s">
        <v>551</v>
      </c>
      <c r="G287" s="6" t="s">
        <v>552</v>
      </c>
      <c r="H287" s="7">
        <v>10</v>
      </c>
      <c r="I287" s="7">
        <v>7</v>
      </c>
      <c r="J287" s="7">
        <f t="shared" si="12"/>
        <v>3</v>
      </c>
      <c r="K287" s="7">
        <v>12000</v>
      </c>
      <c r="L287" s="7">
        <f t="shared" si="13"/>
        <v>36000</v>
      </c>
      <c r="M287" s="5" t="s">
        <v>35</v>
      </c>
      <c r="N287" s="6" t="str">
        <f t="shared" si="14"/>
        <v>Menipis</v>
      </c>
      <c r="O287" s="5" t="s">
        <v>44</v>
      </c>
    </row>
    <row r="288" spans="1:15" x14ac:dyDescent="0.35">
      <c r="A288" s="2" t="s">
        <v>553</v>
      </c>
      <c r="B288" s="2" t="s">
        <v>114</v>
      </c>
      <c r="C288" s="2" t="s">
        <v>17</v>
      </c>
      <c r="D288" s="2" t="s">
        <v>18</v>
      </c>
      <c r="E288" s="2" t="s">
        <v>68</v>
      </c>
      <c r="F288" s="3" t="s">
        <v>554</v>
      </c>
      <c r="G288" s="3" t="s">
        <v>555</v>
      </c>
      <c r="H288" s="4">
        <v>100</v>
      </c>
      <c r="I288" s="4">
        <v>5</v>
      </c>
      <c r="J288" s="4">
        <f t="shared" si="12"/>
        <v>95</v>
      </c>
      <c r="K288" s="4">
        <v>85000</v>
      </c>
      <c r="L288" s="4">
        <f t="shared" si="13"/>
        <v>8075000</v>
      </c>
      <c r="M288" s="2" t="s">
        <v>22</v>
      </c>
      <c r="N288" s="3" t="str">
        <f t="shared" si="14"/>
        <v>Tersedia</v>
      </c>
      <c r="O288" s="2" t="s">
        <v>23</v>
      </c>
    </row>
    <row r="289" spans="1:15" x14ac:dyDescent="0.35">
      <c r="A289" s="5" t="s">
        <v>426</v>
      </c>
      <c r="B289" s="5" t="s">
        <v>206</v>
      </c>
      <c r="C289" s="5" t="s">
        <v>73</v>
      </c>
      <c r="D289" s="5" t="s">
        <v>74</v>
      </c>
      <c r="E289" s="5" t="s">
        <v>68</v>
      </c>
      <c r="F289" s="6" t="s">
        <v>427</v>
      </c>
      <c r="G289" s="6" t="s">
        <v>340</v>
      </c>
      <c r="H289" s="7">
        <v>100</v>
      </c>
      <c r="I289" s="7">
        <v>29</v>
      </c>
      <c r="J289" s="7">
        <f t="shared" si="12"/>
        <v>71</v>
      </c>
      <c r="K289" s="7">
        <v>45000</v>
      </c>
      <c r="L289" s="7">
        <f t="shared" si="13"/>
        <v>3195000</v>
      </c>
      <c r="M289" s="5" t="s">
        <v>35</v>
      </c>
      <c r="N289" s="6" t="str">
        <f t="shared" si="14"/>
        <v>Tersedia</v>
      </c>
      <c r="O289" s="5" t="s">
        <v>76</v>
      </c>
    </row>
    <row r="290" spans="1:15" x14ac:dyDescent="0.35">
      <c r="A290" s="2" t="s">
        <v>556</v>
      </c>
      <c r="B290" s="2" t="s">
        <v>138</v>
      </c>
      <c r="C290" s="2" t="s">
        <v>62</v>
      </c>
      <c r="D290" s="2" t="s">
        <v>63</v>
      </c>
      <c r="E290" s="2" t="s">
        <v>101</v>
      </c>
      <c r="F290" s="3" t="s">
        <v>557</v>
      </c>
      <c r="G290" s="3" t="s">
        <v>276</v>
      </c>
      <c r="H290" s="4">
        <v>100</v>
      </c>
      <c r="I290" s="4">
        <v>93</v>
      </c>
      <c r="J290" s="4">
        <f t="shared" si="12"/>
        <v>7</v>
      </c>
      <c r="K290" s="4">
        <v>450000</v>
      </c>
      <c r="L290" s="4">
        <f t="shared" si="13"/>
        <v>3150000</v>
      </c>
      <c r="M290" s="2" t="s">
        <v>30</v>
      </c>
      <c r="N290" s="3" t="str">
        <f t="shared" si="14"/>
        <v>Tersedia</v>
      </c>
      <c r="O290" s="2" t="s">
        <v>86</v>
      </c>
    </row>
    <row r="291" spans="1:15" x14ac:dyDescent="0.35">
      <c r="A291" s="5" t="s">
        <v>412</v>
      </c>
      <c r="B291" s="5" t="s">
        <v>33</v>
      </c>
      <c r="C291" s="5" t="s">
        <v>26</v>
      </c>
      <c r="D291" s="5" t="s">
        <v>27</v>
      </c>
      <c r="E291" s="5" t="s">
        <v>151</v>
      </c>
      <c r="F291" s="6" t="s">
        <v>109</v>
      </c>
      <c r="G291" s="6" t="s">
        <v>185</v>
      </c>
      <c r="H291" s="7">
        <v>150</v>
      </c>
      <c r="I291" s="7">
        <v>29</v>
      </c>
      <c r="J291" s="7">
        <f t="shared" si="12"/>
        <v>121</v>
      </c>
      <c r="K291" s="7">
        <v>12000</v>
      </c>
      <c r="L291" s="7">
        <f t="shared" si="13"/>
        <v>1452000</v>
      </c>
      <c r="M291" s="5" t="s">
        <v>35</v>
      </c>
      <c r="N291" s="6" t="str">
        <f t="shared" si="14"/>
        <v>Tersedia</v>
      </c>
      <c r="O291" s="5" t="s">
        <v>44</v>
      </c>
    </row>
    <row r="292" spans="1:15" x14ac:dyDescent="0.35">
      <c r="A292" s="2" t="s">
        <v>558</v>
      </c>
      <c r="B292" s="2" t="s">
        <v>108</v>
      </c>
      <c r="C292" s="2" t="s">
        <v>62</v>
      </c>
      <c r="D292" s="2" t="s">
        <v>63</v>
      </c>
      <c r="E292" s="2" t="s">
        <v>52</v>
      </c>
      <c r="F292" s="3" t="s">
        <v>368</v>
      </c>
      <c r="G292" s="3" t="s">
        <v>559</v>
      </c>
      <c r="H292" s="4">
        <v>50</v>
      </c>
      <c r="I292" s="4">
        <v>10</v>
      </c>
      <c r="J292" s="4">
        <f t="shared" si="12"/>
        <v>40</v>
      </c>
      <c r="K292" s="4">
        <v>650000</v>
      </c>
      <c r="L292" s="4">
        <f t="shared" si="13"/>
        <v>26000000</v>
      </c>
      <c r="M292" s="2" t="s">
        <v>22</v>
      </c>
      <c r="N292" s="3" t="str">
        <f t="shared" si="14"/>
        <v>Tersedia</v>
      </c>
      <c r="O292" s="2" t="s">
        <v>31</v>
      </c>
    </row>
    <row r="293" spans="1:15" x14ac:dyDescent="0.35">
      <c r="A293" s="5" t="s">
        <v>37</v>
      </c>
      <c r="B293" s="5" t="s">
        <v>158</v>
      </c>
      <c r="C293" s="5" t="s">
        <v>26</v>
      </c>
      <c r="D293" s="5" t="s">
        <v>27</v>
      </c>
      <c r="E293" s="5" t="s">
        <v>47</v>
      </c>
      <c r="F293" s="6" t="s">
        <v>560</v>
      </c>
      <c r="G293" s="6"/>
      <c r="H293" s="7">
        <v>150</v>
      </c>
      <c r="I293" s="7">
        <v>0</v>
      </c>
      <c r="J293" s="7">
        <f t="shared" si="12"/>
        <v>150</v>
      </c>
      <c r="K293" s="7">
        <v>65000</v>
      </c>
      <c r="L293" s="7">
        <f t="shared" si="13"/>
        <v>9750000</v>
      </c>
      <c r="M293" s="5" t="s">
        <v>22</v>
      </c>
      <c r="N293" s="6" t="str">
        <f t="shared" si="14"/>
        <v>Tersedia</v>
      </c>
      <c r="O293" s="5" t="s">
        <v>31</v>
      </c>
    </row>
    <row r="294" spans="1:15" x14ac:dyDescent="0.35">
      <c r="A294" s="2" t="s">
        <v>561</v>
      </c>
      <c r="B294" s="2" t="s">
        <v>117</v>
      </c>
      <c r="C294" s="2" t="s">
        <v>81</v>
      </c>
      <c r="D294" s="2" t="s">
        <v>82</v>
      </c>
      <c r="E294" s="2" t="s">
        <v>34</v>
      </c>
      <c r="F294" s="3" t="s">
        <v>225</v>
      </c>
      <c r="G294" s="3"/>
      <c r="H294" s="4">
        <v>10</v>
      </c>
      <c r="I294" s="4">
        <v>0</v>
      </c>
      <c r="J294" s="4">
        <f t="shared" si="12"/>
        <v>10</v>
      </c>
      <c r="K294" s="4">
        <v>310000</v>
      </c>
      <c r="L294" s="4">
        <f t="shared" si="13"/>
        <v>3100000</v>
      </c>
      <c r="M294" s="2" t="s">
        <v>22</v>
      </c>
      <c r="N294" s="3" t="str">
        <f t="shared" si="14"/>
        <v>Tersedia</v>
      </c>
      <c r="O294" s="2" t="s">
        <v>59</v>
      </c>
    </row>
    <row r="295" spans="1:15" x14ac:dyDescent="0.35">
      <c r="A295" s="5" t="s">
        <v>54</v>
      </c>
      <c r="B295" s="5" t="s">
        <v>127</v>
      </c>
      <c r="C295" s="5" t="s">
        <v>39</v>
      </c>
      <c r="D295" s="5" t="s">
        <v>40</v>
      </c>
      <c r="E295" s="5" t="s">
        <v>64</v>
      </c>
      <c r="F295" s="6" t="s">
        <v>276</v>
      </c>
      <c r="G295" s="6"/>
      <c r="H295" s="7">
        <v>2</v>
      </c>
      <c r="I295" s="7">
        <v>0</v>
      </c>
      <c r="J295" s="7">
        <f t="shared" si="12"/>
        <v>2</v>
      </c>
      <c r="K295" s="7">
        <v>1550000</v>
      </c>
      <c r="L295" s="7">
        <f t="shared" si="13"/>
        <v>3100000</v>
      </c>
      <c r="M295" s="5" t="s">
        <v>43</v>
      </c>
      <c r="N295" s="6" t="str">
        <f t="shared" si="14"/>
        <v>Menipis</v>
      </c>
      <c r="O295" s="5" t="s">
        <v>86</v>
      </c>
    </row>
    <row r="296" spans="1:15" x14ac:dyDescent="0.35">
      <c r="A296" s="2" t="s">
        <v>472</v>
      </c>
      <c r="B296" s="2" t="s">
        <v>38</v>
      </c>
      <c r="C296" s="2" t="s">
        <v>39</v>
      </c>
      <c r="D296" s="2" t="s">
        <v>40</v>
      </c>
      <c r="E296" s="2" t="s">
        <v>101</v>
      </c>
      <c r="F296" s="3" t="s">
        <v>488</v>
      </c>
      <c r="G296" s="3" t="s">
        <v>562</v>
      </c>
      <c r="H296" s="4">
        <v>5</v>
      </c>
      <c r="I296" s="4">
        <v>4</v>
      </c>
      <c r="J296" s="4">
        <f t="shared" si="12"/>
        <v>1</v>
      </c>
      <c r="K296" s="4">
        <v>4500000</v>
      </c>
      <c r="L296" s="4">
        <f t="shared" si="13"/>
        <v>4500000</v>
      </c>
      <c r="M296" s="2" t="s">
        <v>85</v>
      </c>
      <c r="N296" s="3" t="str">
        <f t="shared" si="14"/>
        <v>Menipis</v>
      </c>
      <c r="O296" s="2" t="s">
        <v>76</v>
      </c>
    </row>
    <row r="297" spans="1:15" x14ac:dyDescent="0.35">
      <c r="A297" s="5" t="s">
        <v>540</v>
      </c>
      <c r="B297" s="5" t="s">
        <v>217</v>
      </c>
      <c r="C297" s="5" t="s">
        <v>26</v>
      </c>
      <c r="D297" s="5" t="s">
        <v>27</v>
      </c>
      <c r="E297" s="5" t="s">
        <v>64</v>
      </c>
      <c r="F297" s="6" t="s">
        <v>559</v>
      </c>
      <c r="G297" s="6" t="s">
        <v>202</v>
      </c>
      <c r="H297" s="7">
        <v>50</v>
      </c>
      <c r="I297" s="7">
        <v>44</v>
      </c>
      <c r="J297" s="7">
        <f t="shared" si="12"/>
        <v>6</v>
      </c>
      <c r="K297" s="7">
        <v>55000</v>
      </c>
      <c r="L297" s="7">
        <f t="shared" si="13"/>
        <v>330000</v>
      </c>
      <c r="M297" s="5" t="s">
        <v>43</v>
      </c>
      <c r="N297" s="6" t="str">
        <f t="shared" si="14"/>
        <v>Tersedia</v>
      </c>
      <c r="O297" s="5" t="s">
        <v>36</v>
      </c>
    </row>
    <row r="298" spans="1:15" x14ac:dyDescent="0.35">
      <c r="A298" s="2" t="s">
        <v>489</v>
      </c>
      <c r="B298" s="2" t="s">
        <v>217</v>
      </c>
      <c r="C298" s="2" t="s">
        <v>26</v>
      </c>
      <c r="D298" s="2" t="s">
        <v>27</v>
      </c>
      <c r="E298" s="2" t="s">
        <v>68</v>
      </c>
      <c r="F298" s="3" t="s">
        <v>475</v>
      </c>
      <c r="G298" s="3" t="s">
        <v>293</v>
      </c>
      <c r="H298" s="4">
        <v>10</v>
      </c>
      <c r="I298" s="4">
        <v>9</v>
      </c>
      <c r="J298" s="4">
        <f t="shared" si="12"/>
        <v>1</v>
      </c>
      <c r="K298" s="4">
        <v>55000</v>
      </c>
      <c r="L298" s="4">
        <f t="shared" si="13"/>
        <v>55000</v>
      </c>
      <c r="M298" s="2" t="s">
        <v>85</v>
      </c>
      <c r="N298" s="3" t="str">
        <f t="shared" si="14"/>
        <v>Menipis</v>
      </c>
      <c r="O298" s="2" t="s">
        <v>76</v>
      </c>
    </row>
    <row r="299" spans="1:15" x14ac:dyDescent="0.35">
      <c r="A299" s="5" t="s">
        <v>563</v>
      </c>
      <c r="B299" s="5" t="s">
        <v>206</v>
      </c>
      <c r="C299" s="5" t="s">
        <v>73</v>
      </c>
      <c r="D299" s="5" t="s">
        <v>74</v>
      </c>
      <c r="E299" s="5" t="s">
        <v>64</v>
      </c>
      <c r="F299" s="6" t="s">
        <v>564</v>
      </c>
      <c r="G299" s="6" t="s">
        <v>565</v>
      </c>
      <c r="H299" s="7">
        <v>200</v>
      </c>
      <c r="I299" s="7">
        <v>43</v>
      </c>
      <c r="J299" s="7">
        <f t="shared" si="12"/>
        <v>157</v>
      </c>
      <c r="K299" s="7">
        <v>45000</v>
      </c>
      <c r="L299" s="7">
        <f t="shared" si="13"/>
        <v>7065000</v>
      </c>
      <c r="M299" s="5" t="s">
        <v>35</v>
      </c>
      <c r="N299" s="6" t="str">
        <f t="shared" si="14"/>
        <v>Tersedia</v>
      </c>
      <c r="O299" s="5" t="s">
        <v>36</v>
      </c>
    </row>
    <row r="300" spans="1:15" x14ac:dyDescent="0.35">
      <c r="A300" s="2" t="s">
        <v>119</v>
      </c>
      <c r="B300" s="2" t="s">
        <v>88</v>
      </c>
      <c r="C300" s="2" t="s">
        <v>73</v>
      </c>
      <c r="D300" s="2" t="s">
        <v>74</v>
      </c>
      <c r="E300" s="2" t="s">
        <v>34</v>
      </c>
      <c r="F300" s="3" t="s">
        <v>465</v>
      </c>
      <c r="G300" s="3"/>
      <c r="H300" s="4">
        <v>10</v>
      </c>
      <c r="I300" s="4">
        <v>0</v>
      </c>
      <c r="J300" s="4">
        <f t="shared" si="12"/>
        <v>10</v>
      </c>
      <c r="K300" s="4">
        <v>650000</v>
      </c>
      <c r="L300" s="4">
        <f t="shared" si="13"/>
        <v>6500000</v>
      </c>
      <c r="M300" s="2" t="s">
        <v>35</v>
      </c>
      <c r="N300" s="3" t="str">
        <f t="shared" si="14"/>
        <v>Tersedia</v>
      </c>
      <c r="O300" s="2" t="s">
        <v>31</v>
      </c>
    </row>
    <row r="301" spans="1:15" x14ac:dyDescent="0.35">
      <c r="A301" s="5" t="s">
        <v>566</v>
      </c>
      <c r="B301" s="5" t="s">
        <v>217</v>
      </c>
      <c r="C301" s="5" t="s">
        <v>26</v>
      </c>
      <c r="D301" s="5" t="s">
        <v>27</v>
      </c>
      <c r="E301" s="5" t="s">
        <v>52</v>
      </c>
      <c r="F301" s="6" t="s">
        <v>153</v>
      </c>
      <c r="G301" s="6"/>
      <c r="H301" s="7">
        <v>200</v>
      </c>
      <c r="I301" s="7">
        <v>0</v>
      </c>
      <c r="J301" s="7">
        <f t="shared" si="12"/>
        <v>200</v>
      </c>
      <c r="K301" s="7">
        <v>55000</v>
      </c>
      <c r="L301" s="7">
        <f t="shared" si="13"/>
        <v>11000000</v>
      </c>
      <c r="M301" s="5" t="s">
        <v>30</v>
      </c>
      <c r="N301" s="6" t="str">
        <f t="shared" si="14"/>
        <v>Tersedia</v>
      </c>
      <c r="O301" s="5" t="s">
        <v>36</v>
      </c>
    </row>
    <row r="302" spans="1:15" x14ac:dyDescent="0.35">
      <c r="A302" s="2" t="s">
        <v>126</v>
      </c>
      <c r="B302" s="2" t="s">
        <v>33</v>
      </c>
      <c r="C302" s="2" t="s">
        <v>26</v>
      </c>
      <c r="D302" s="2" t="s">
        <v>27</v>
      </c>
      <c r="E302" s="2" t="s">
        <v>47</v>
      </c>
      <c r="F302" s="3" t="s">
        <v>156</v>
      </c>
      <c r="G302" s="3"/>
      <c r="H302" s="4">
        <v>20</v>
      </c>
      <c r="I302" s="4">
        <v>0</v>
      </c>
      <c r="J302" s="4">
        <f t="shared" si="12"/>
        <v>20</v>
      </c>
      <c r="K302" s="4">
        <v>12000</v>
      </c>
      <c r="L302" s="4">
        <f t="shared" si="13"/>
        <v>240000</v>
      </c>
      <c r="M302" s="2" t="s">
        <v>22</v>
      </c>
      <c r="N302" s="3" t="str">
        <f t="shared" si="14"/>
        <v>Tersedia</v>
      </c>
      <c r="O302" s="2" t="s">
        <v>70</v>
      </c>
    </row>
    <row r="303" spans="1:15" x14ac:dyDescent="0.35">
      <c r="A303" s="5" t="s">
        <v>567</v>
      </c>
      <c r="B303" s="5" t="s">
        <v>33</v>
      </c>
      <c r="C303" s="5" t="s">
        <v>26</v>
      </c>
      <c r="D303" s="5" t="s">
        <v>27</v>
      </c>
      <c r="E303" s="5" t="s">
        <v>68</v>
      </c>
      <c r="F303" s="6" t="s">
        <v>568</v>
      </c>
      <c r="G303" s="6" t="s">
        <v>49</v>
      </c>
      <c r="H303" s="7">
        <v>20</v>
      </c>
      <c r="I303" s="7">
        <v>15</v>
      </c>
      <c r="J303" s="7">
        <f t="shared" si="12"/>
        <v>5</v>
      </c>
      <c r="K303" s="7">
        <v>12000</v>
      </c>
      <c r="L303" s="7">
        <f t="shared" si="13"/>
        <v>60000</v>
      </c>
      <c r="M303" s="5" t="s">
        <v>35</v>
      </c>
      <c r="N303" s="6" t="str">
        <f t="shared" si="14"/>
        <v>Menipis</v>
      </c>
      <c r="O303" s="5" t="s">
        <v>59</v>
      </c>
    </row>
    <row r="304" spans="1:15" x14ac:dyDescent="0.35">
      <c r="A304" s="2" t="s">
        <v>569</v>
      </c>
      <c r="B304" s="2" t="s">
        <v>51</v>
      </c>
      <c r="C304" s="2" t="s">
        <v>17</v>
      </c>
      <c r="D304" s="2" t="s">
        <v>18</v>
      </c>
      <c r="E304" s="2" t="s">
        <v>96</v>
      </c>
      <c r="F304" s="3" t="s">
        <v>534</v>
      </c>
      <c r="G304" s="3" t="s">
        <v>391</v>
      </c>
      <c r="H304" s="4">
        <v>50</v>
      </c>
      <c r="I304" s="4">
        <v>4</v>
      </c>
      <c r="J304" s="4">
        <f t="shared" si="12"/>
        <v>46</v>
      </c>
      <c r="K304" s="4">
        <v>150000</v>
      </c>
      <c r="L304" s="4">
        <f t="shared" si="13"/>
        <v>6900000</v>
      </c>
      <c r="M304" s="2" t="s">
        <v>30</v>
      </c>
      <c r="N304" s="3" t="str">
        <f t="shared" si="14"/>
        <v>Tersedia</v>
      </c>
      <c r="O304" s="2" t="s">
        <v>86</v>
      </c>
    </row>
    <row r="305" spans="1:15" x14ac:dyDescent="0.35">
      <c r="A305" s="5" t="s">
        <v>570</v>
      </c>
      <c r="B305" s="5" t="s">
        <v>16</v>
      </c>
      <c r="C305" s="5" t="s">
        <v>17</v>
      </c>
      <c r="D305" s="5" t="s">
        <v>18</v>
      </c>
      <c r="E305" s="5" t="s">
        <v>52</v>
      </c>
      <c r="F305" s="6" t="s">
        <v>182</v>
      </c>
      <c r="G305" s="6" t="s">
        <v>344</v>
      </c>
      <c r="H305" s="7">
        <v>200</v>
      </c>
      <c r="I305" s="7">
        <v>88</v>
      </c>
      <c r="J305" s="7">
        <f t="shared" si="12"/>
        <v>112</v>
      </c>
      <c r="K305" s="7">
        <v>45000</v>
      </c>
      <c r="L305" s="7">
        <f t="shared" si="13"/>
        <v>5040000</v>
      </c>
      <c r="M305" s="5" t="s">
        <v>35</v>
      </c>
      <c r="N305" s="6" t="str">
        <f t="shared" si="14"/>
        <v>Tersedia</v>
      </c>
      <c r="O305" s="5" t="s">
        <v>36</v>
      </c>
    </row>
    <row r="306" spans="1:15" x14ac:dyDescent="0.35">
      <c r="A306" s="2" t="s">
        <v>545</v>
      </c>
      <c r="B306" s="2" t="s">
        <v>25</v>
      </c>
      <c r="C306" s="2" t="s">
        <v>26</v>
      </c>
      <c r="D306" s="2" t="s">
        <v>27</v>
      </c>
      <c r="E306" s="2" t="s">
        <v>47</v>
      </c>
      <c r="F306" s="3" t="s">
        <v>571</v>
      </c>
      <c r="G306" s="3" t="s">
        <v>299</v>
      </c>
      <c r="H306" s="4">
        <v>100</v>
      </c>
      <c r="I306" s="4">
        <v>38</v>
      </c>
      <c r="J306" s="4">
        <f t="shared" si="12"/>
        <v>62</v>
      </c>
      <c r="K306" s="4">
        <v>45000</v>
      </c>
      <c r="L306" s="4">
        <f t="shared" si="13"/>
        <v>2790000</v>
      </c>
      <c r="M306" s="2" t="s">
        <v>22</v>
      </c>
      <c r="N306" s="3" t="str">
        <f t="shared" si="14"/>
        <v>Tersedia</v>
      </c>
      <c r="O306" s="2" t="s">
        <v>23</v>
      </c>
    </row>
    <row r="307" spans="1:15" x14ac:dyDescent="0.35">
      <c r="A307" s="5" t="s">
        <v>173</v>
      </c>
      <c r="B307" s="5" t="s">
        <v>114</v>
      </c>
      <c r="C307" s="5" t="s">
        <v>17</v>
      </c>
      <c r="D307" s="5" t="s">
        <v>18</v>
      </c>
      <c r="E307" s="5" t="s">
        <v>47</v>
      </c>
      <c r="F307" s="6" t="s">
        <v>407</v>
      </c>
      <c r="G307" s="6" t="s">
        <v>143</v>
      </c>
      <c r="H307" s="7">
        <v>150</v>
      </c>
      <c r="I307" s="7">
        <v>103</v>
      </c>
      <c r="J307" s="7">
        <f t="shared" si="12"/>
        <v>47</v>
      </c>
      <c r="K307" s="7">
        <v>85000</v>
      </c>
      <c r="L307" s="7">
        <f t="shared" si="13"/>
        <v>3995000</v>
      </c>
      <c r="M307" s="5" t="s">
        <v>30</v>
      </c>
      <c r="N307" s="6" t="str">
        <f t="shared" si="14"/>
        <v>Tersedia</v>
      </c>
      <c r="O307" s="5" t="s">
        <v>59</v>
      </c>
    </row>
    <row r="308" spans="1:15" x14ac:dyDescent="0.35">
      <c r="A308" s="2" t="s">
        <v>178</v>
      </c>
      <c r="B308" s="2" t="s">
        <v>127</v>
      </c>
      <c r="C308" s="2" t="s">
        <v>39</v>
      </c>
      <c r="D308" s="2" t="s">
        <v>40</v>
      </c>
      <c r="E308" s="2" t="s">
        <v>19</v>
      </c>
      <c r="F308" s="3" t="s">
        <v>414</v>
      </c>
      <c r="G308" s="3" t="s">
        <v>65</v>
      </c>
      <c r="H308" s="4">
        <v>10</v>
      </c>
      <c r="I308" s="4">
        <v>7</v>
      </c>
      <c r="J308" s="4">
        <f t="shared" si="12"/>
        <v>3</v>
      </c>
      <c r="K308" s="4">
        <v>1550000</v>
      </c>
      <c r="L308" s="4">
        <f t="shared" si="13"/>
        <v>4650000</v>
      </c>
      <c r="M308" s="2" t="s">
        <v>43</v>
      </c>
      <c r="N308" s="3" t="str">
        <f t="shared" si="14"/>
        <v>Menipis</v>
      </c>
      <c r="O308" s="2" t="s">
        <v>36</v>
      </c>
    </row>
    <row r="309" spans="1:15" x14ac:dyDescent="0.35">
      <c r="A309" s="5" t="s">
        <v>263</v>
      </c>
      <c r="B309" s="5" t="s">
        <v>114</v>
      </c>
      <c r="C309" s="5" t="s">
        <v>17</v>
      </c>
      <c r="D309" s="5" t="s">
        <v>18</v>
      </c>
      <c r="E309" s="5" t="s">
        <v>52</v>
      </c>
      <c r="F309" s="6" t="s">
        <v>167</v>
      </c>
      <c r="G309" s="6" t="s">
        <v>457</v>
      </c>
      <c r="H309" s="7">
        <v>100</v>
      </c>
      <c r="I309" s="7">
        <v>76</v>
      </c>
      <c r="J309" s="7">
        <f t="shared" si="12"/>
        <v>24</v>
      </c>
      <c r="K309" s="7">
        <v>85000</v>
      </c>
      <c r="L309" s="7">
        <f t="shared" si="13"/>
        <v>2040000</v>
      </c>
      <c r="M309" s="5" t="s">
        <v>43</v>
      </c>
      <c r="N309" s="6" t="str">
        <f t="shared" si="14"/>
        <v>Tersedia</v>
      </c>
      <c r="O309" s="5" t="s">
        <v>44</v>
      </c>
    </row>
    <row r="310" spans="1:15" x14ac:dyDescent="0.35">
      <c r="A310" s="2" t="s">
        <v>347</v>
      </c>
      <c r="B310" s="2" t="s">
        <v>217</v>
      </c>
      <c r="C310" s="2" t="s">
        <v>26</v>
      </c>
      <c r="D310" s="2" t="s">
        <v>27</v>
      </c>
      <c r="E310" s="2" t="s">
        <v>52</v>
      </c>
      <c r="F310" s="3" t="s">
        <v>473</v>
      </c>
      <c r="G310" s="3"/>
      <c r="H310" s="4">
        <v>50</v>
      </c>
      <c r="I310" s="4">
        <v>0</v>
      </c>
      <c r="J310" s="4">
        <f t="shared" si="12"/>
        <v>50</v>
      </c>
      <c r="K310" s="4">
        <v>55000</v>
      </c>
      <c r="L310" s="4">
        <f t="shared" si="13"/>
        <v>2750000</v>
      </c>
      <c r="M310" s="2" t="s">
        <v>30</v>
      </c>
      <c r="N310" s="3" t="str">
        <f t="shared" si="14"/>
        <v>Tersedia</v>
      </c>
      <c r="O310" s="2" t="s">
        <v>31</v>
      </c>
    </row>
    <row r="311" spans="1:15" x14ac:dyDescent="0.35">
      <c r="A311" s="5" t="s">
        <v>572</v>
      </c>
      <c r="B311" s="5" t="s">
        <v>33</v>
      </c>
      <c r="C311" s="5" t="s">
        <v>26</v>
      </c>
      <c r="D311" s="5" t="s">
        <v>27</v>
      </c>
      <c r="E311" s="5" t="s">
        <v>56</v>
      </c>
      <c r="F311" s="6" t="s">
        <v>335</v>
      </c>
      <c r="G311" s="6"/>
      <c r="H311" s="7">
        <v>200</v>
      </c>
      <c r="I311" s="7">
        <v>0</v>
      </c>
      <c r="J311" s="7">
        <f t="shared" si="12"/>
        <v>200</v>
      </c>
      <c r="K311" s="7">
        <v>12000</v>
      </c>
      <c r="L311" s="7">
        <f t="shared" si="13"/>
        <v>2400000</v>
      </c>
      <c r="M311" s="5" t="s">
        <v>30</v>
      </c>
      <c r="N311" s="6" t="str">
        <f t="shared" si="14"/>
        <v>Tersedia</v>
      </c>
      <c r="O311" s="5" t="s">
        <v>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A44B3-00F9-4C06-B505-EB2C5712B277}">
  <dimension ref="A2:O314"/>
  <sheetViews>
    <sheetView topLeftCell="E1" workbookViewId="0">
      <selection activeCell="B14" sqref="B14"/>
    </sheetView>
  </sheetViews>
  <sheetFormatPr defaultRowHeight="14.5" x14ac:dyDescent="0.35"/>
  <cols>
    <col min="1" max="1" width="14" customWidth="1"/>
    <col min="2" max="2" width="25" customWidth="1"/>
    <col min="3" max="3" width="20" customWidth="1"/>
    <col min="4" max="4" width="12" customWidth="1"/>
    <col min="5" max="5" width="30" customWidth="1"/>
    <col min="6" max="6" width="16" customWidth="1"/>
    <col min="7" max="7" width="17" customWidth="1"/>
    <col min="8" max="8" width="15" customWidth="1"/>
    <col min="9" max="9" width="16" customWidth="1"/>
    <col min="10" max="10" width="13" customWidth="1"/>
    <col min="11" max="11" width="15" customWidth="1"/>
    <col min="12" max="12" width="25" customWidth="1"/>
    <col min="13" max="13" width="19.7265625" customWidth="1"/>
    <col min="14" max="14" width="23.90625" customWidth="1"/>
    <col min="15" max="15" width="22" customWidth="1"/>
  </cols>
  <sheetData>
    <row r="2" spans="1:15" x14ac:dyDescent="0.35">
      <c r="A2" s="11" t="s">
        <v>573</v>
      </c>
      <c r="B2" s="11"/>
      <c r="C2" s="11"/>
      <c r="D2" s="11"/>
      <c r="E2" s="11"/>
      <c r="F2" s="11"/>
      <c r="G2" s="11"/>
      <c r="H2" s="11"/>
      <c r="I2" s="11"/>
      <c r="J2" s="11"/>
      <c r="K2" s="11"/>
      <c r="L2" s="11"/>
      <c r="M2" s="11"/>
      <c r="N2" s="11"/>
      <c r="O2" s="11"/>
    </row>
    <row r="4" spans="1:15" x14ac:dyDescent="0.35">
      <c r="A4" s="1" t="s">
        <v>0</v>
      </c>
      <c r="B4" s="1" t="s">
        <v>1</v>
      </c>
      <c r="C4" s="1" t="s">
        <v>2</v>
      </c>
      <c r="D4" s="1" t="s">
        <v>3</v>
      </c>
      <c r="E4" s="1" t="s">
        <v>4</v>
      </c>
      <c r="F4" s="1" t="s">
        <v>5</v>
      </c>
      <c r="G4" s="1" t="s">
        <v>6</v>
      </c>
      <c r="H4" s="1" t="s">
        <v>7</v>
      </c>
      <c r="I4" s="1" t="s">
        <v>8</v>
      </c>
      <c r="J4" s="1" t="s">
        <v>9</v>
      </c>
      <c r="K4" s="1" t="s">
        <v>10</v>
      </c>
      <c r="L4" s="1" t="s">
        <v>11</v>
      </c>
      <c r="M4" s="1" t="s">
        <v>12</v>
      </c>
      <c r="N4" s="1" t="s">
        <v>13</v>
      </c>
      <c r="O4" s="1" t="s">
        <v>14</v>
      </c>
    </row>
    <row r="5" spans="1:15" x14ac:dyDescent="0.35">
      <c r="A5" s="2" t="s">
        <v>15</v>
      </c>
      <c r="B5" s="2" t="s">
        <v>16</v>
      </c>
      <c r="C5" s="2" t="s">
        <v>17</v>
      </c>
      <c r="D5" s="2" t="s">
        <v>18</v>
      </c>
      <c r="E5" s="2" t="s">
        <v>19</v>
      </c>
      <c r="F5" s="3" t="s">
        <v>20</v>
      </c>
      <c r="G5" s="3" t="s">
        <v>21</v>
      </c>
      <c r="H5" s="4">
        <v>100</v>
      </c>
      <c r="I5" s="4">
        <v>84</v>
      </c>
      <c r="J5" s="4">
        <f t="shared" ref="J5:J68" si="0">H5-I5</f>
        <v>16</v>
      </c>
      <c r="K5" s="4">
        <v>45000</v>
      </c>
      <c r="L5" s="4">
        <f t="shared" ref="L5:L68" si="1">J5*K5</f>
        <v>720000</v>
      </c>
      <c r="M5" s="2" t="s">
        <v>22</v>
      </c>
      <c r="N5" s="3" t="str">
        <f t="shared" ref="N5:N68" si="2">IF(J5&lt;=0,"Habis",IF(J5&lt;=5,"Menipis","Tersedia"))</f>
        <v>Tersedia</v>
      </c>
      <c r="O5" s="2" t="s">
        <v>23</v>
      </c>
    </row>
    <row r="6" spans="1:15" x14ac:dyDescent="0.35">
      <c r="A6" s="5" t="s">
        <v>24</v>
      </c>
      <c r="B6" s="5" t="s">
        <v>25</v>
      </c>
      <c r="C6" s="5" t="s">
        <v>26</v>
      </c>
      <c r="D6" s="5" t="s">
        <v>27</v>
      </c>
      <c r="E6" s="5" t="s">
        <v>19</v>
      </c>
      <c r="F6" s="6" t="s">
        <v>28</v>
      </c>
      <c r="G6" s="6" t="s">
        <v>29</v>
      </c>
      <c r="H6" s="7">
        <v>200</v>
      </c>
      <c r="I6" s="7">
        <v>12</v>
      </c>
      <c r="J6" s="7">
        <f t="shared" si="0"/>
        <v>188</v>
      </c>
      <c r="K6" s="7">
        <v>45000</v>
      </c>
      <c r="L6" s="7">
        <f t="shared" si="1"/>
        <v>8460000</v>
      </c>
      <c r="M6" s="5" t="s">
        <v>30</v>
      </c>
      <c r="N6" s="6" t="str">
        <f t="shared" si="2"/>
        <v>Tersedia</v>
      </c>
      <c r="O6" s="5" t="s">
        <v>31</v>
      </c>
    </row>
    <row r="7" spans="1:15" x14ac:dyDescent="0.35">
      <c r="A7" s="2" t="s">
        <v>32</v>
      </c>
      <c r="B7" s="2" t="s">
        <v>33</v>
      </c>
      <c r="C7" s="2" t="s">
        <v>26</v>
      </c>
      <c r="D7" s="2" t="s">
        <v>27</v>
      </c>
      <c r="E7" s="2" t="s">
        <v>34</v>
      </c>
      <c r="F7" s="3" t="s">
        <v>29</v>
      </c>
      <c r="G7" s="3"/>
      <c r="H7" s="4">
        <v>100</v>
      </c>
      <c r="I7" s="4">
        <v>0</v>
      </c>
      <c r="J7" s="4">
        <f t="shared" si="0"/>
        <v>100</v>
      </c>
      <c r="K7" s="4">
        <v>12000</v>
      </c>
      <c r="L7" s="4">
        <f t="shared" si="1"/>
        <v>1200000</v>
      </c>
      <c r="M7" s="2" t="s">
        <v>35</v>
      </c>
      <c r="N7" s="3" t="str">
        <f t="shared" si="2"/>
        <v>Tersedia</v>
      </c>
      <c r="O7" s="2" t="s">
        <v>36</v>
      </c>
    </row>
    <row r="8" spans="1:15" x14ac:dyDescent="0.35">
      <c r="A8" s="5" t="s">
        <v>37</v>
      </c>
      <c r="B8" s="5" t="s">
        <v>38</v>
      </c>
      <c r="C8" s="5" t="s">
        <v>39</v>
      </c>
      <c r="D8" s="5" t="s">
        <v>40</v>
      </c>
      <c r="E8" s="5" t="s">
        <v>19</v>
      </c>
      <c r="F8" s="6" t="s">
        <v>41</v>
      </c>
      <c r="G8" s="6" t="s">
        <v>42</v>
      </c>
      <c r="H8" s="7">
        <v>2</v>
      </c>
      <c r="I8" s="7">
        <v>1</v>
      </c>
      <c r="J8" s="7">
        <f t="shared" si="0"/>
        <v>1</v>
      </c>
      <c r="K8" s="7">
        <v>4500000</v>
      </c>
      <c r="L8" s="7">
        <f t="shared" si="1"/>
        <v>4500000</v>
      </c>
      <c r="M8" s="5" t="s">
        <v>43</v>
      </c>
      <c r="N8" s="6" t="str">
        <f t="shared" si="2"/>
        <v>Menipis</v>
      </c>
      <c r="O8" s="5" t="s">
        <v>44</v>
      </c>
    </row>
    <row r="9" spans="1:15" x14ac:dyDescent="0.35">
      <c r="A9" s="2" t="s">
        <v>45</v>
      </c>
      <c r="B9" s="2" t="s">
        <v>46</v>
      </c>
      <c r="C9" s="2" t="s">
        <v>26</v>
      </c>
      <c r="D9" s="2" t="s">
        <v>27</v>
      </c>
      <c r="E9" s="2" t="s">
        <v>47</v>
      </c>
      <c r="F9" s="3" t="s">
        <v>48</v>
      </c>
      <c r="G9" s="3" t="s">
        <v>49</v>
      </c>
      <c r="H9" s="4">
        <v>100</v>
      </c>
      <c r="I9" s="4">
        <v>9</v>
      </c>
      <c r="J9" s="4">
        <f t="shared" si="0"/>
        <v>91</v>
      </c>
      <c r="K9" s="4">
        <v>35000</v>
      </c>
      <c r="L9" s="4">
        <f t="shared" si="1"/>
        <v>3185000</v>
      </c>
      <c r="M9" s="2" t="s">
        <v>35</v>
      </c>
      <c r="N9" s="3" t="str">
        <f t="shared" si="2"/>
        <v>Tersedia</v>
      </c>
      <c r="O9" s="2" t="s">
        <v>44</v>
      </c>
    </row>
    <row r="10" spans="1:15" x14ac:dyDescent="0.35">
      <c r="A10" s="5" t="s">
        <v>50</v>
      </c>
      <c r="B10" s="5" t="s">
        <v>51</v>
      </c>
      <c r="C10" s="5" t="s">
        <v>17</v>
      </c>
      <c r="D10" s="5" t="s">
        <v>18</v>
      </c>
      <c r="E10" s="5" t="s">
        <v>52</v>
      </c>
      <c r="F10" s="6" t="s">
        <v>53</v>
      </c>
      <c r="G10" s="6"/>
      <c r="H10" s="7">
        <v>10</v>
      </c>
      <c r="I10" s="7">
        <v>0</v>
      </c>
      <c r="J10" s="7">
        <f t="shared" si="0"/>
        <v>10</v>
      </c>
      <c r="K10" s="7">
        <v>150000</v>
      </c>
      <c r="L10" s="7">
        <f t="shared" si="1"/>
        <v>1500000</v>
      </c>
      <c r="M10" s="5" t="s">
        <v>43</v>
      </c>
      <c r="N10" s="6" t="str">
        <f t="shared" si="2"/>
        <v>Tersedia</v>
      </c>
      <c r="O10" s="5" t="s">
        <v>44</v>
      </c>
    </row>
    <row r="11" spans="1:15" x14ac:dyDescent="0.35">
      <c r="A11" s="2" t="s">
        <v>54</v>
      </c>
      <c r="B11" s="2" t="s">
        <v>55</v>
      </c>
      <c r="C11" s="2" t="s">
        <v>39</v>
      </c>
      <c r="D11" s="2" t="s">
        <v>40</v>
      </c>
      <c r="E11" s="2" t="s">
        <v>56</v>
      </c>
      <c r="F11" s="3" t="s">
        <v>57</v>
      </c>
      <c r="G11" s="3" t="s">
        <v>58</v>
      </c>
      <c r="H11" s="4">
        <v>5</v>
      </c>
      <c r="I11" s="4">
        <v>2</v>
      </c>
      <c r="J11" s="4">
        <f t="shared" si="0"/>
        <v>3</v>
      </c>
      <c r="K11" s="4">
        <v>1850000</v>
      </c>
      <c r="L11" s="4">
        <f t="shared" si="1"/>
        <v>5550000</v>
      </c>
      <c r="M11" s="2" t="s">
        <v>22</v>
      </c>
      <c r="N11" s="3" t="str">
        <f t="shared" si="2"/>
        <v>Menipis</v>
      </c>
      <c r="O11" s="2" t="s">
        <v>59</v>
      </c>
    </row>
    <row r="12" spans="1:15" x14ac:dyDescent="0.35">
      <c r="A12" s="5" t="s">
        <v>60</v>
      </c>
      <c r="B12" s="5" t="s">
        <v>61</v>
      </c>
      <c r="C12" s="5" t="s">
        <v>62</v>
      </c>
      <c r="D12" s="5" t="s">
        <v>63</v>
      </c>
      <c r="E12" s="5" t="s">
        <v>64</v>
      </c>
      <c r="F12" s="6" t="s">
        <v>65</v>
      </c>
      <c r="G12" s="6"/>
      <c r="H12" s="7">
        <v>100</v>
      </c>
      <c r="I12" s="7">
        <v>0</v>
      </c>
      <c r="J12" s="7">
        <f t="shared" si="0"/>
        <v>100</v>
      </c>
      <c r="K12" s="7">
        <v>350000</v>
      </c>
      <c r="L12" s="7">
        <f t="shared" si="1"/>
        <v>35000000</v>
      </c>
      <c r="M12" s="5" t="s">
        <v>43</v>
      </c>
      <c r="N12" s="6" t="str">
        <f t="shared" si="2"/>
        <v>Tersedia</v>
      </c>
      <c r="O12" s="5" t="s">
        <v>31</v>
      </c>
    </row>
    <row r="13" spans="1:15" x14ac:dyDescent="0.35">
      <c r="A13" s="2" t="s">
        <v>66</v>
      </c>
      <c r="B13" s="2" t="s">
        <v>67</v>
      </c>
      <c r="C13" s="2" t="s">
        <v>39</v>
      </c>
      <c r="D13" s="2" t="s">
        <v>40</v>
      </c>
      <c r="E13" s="2" t="s">
        <v>68</v>
      </c>
      <c r="F13" s="3" t="s">
        <v>69</v>
      </c>
      <c r="G13" s="3"/>
      <c r="H13" s="4">
        <v>5</v>
      </c>
      <c r="I13" s="4">
        <v>0</v>
      </c>
      <c r="J13" s="4">
        <f t="shared" si="0"/>
        <v>5</v>
      </c>
      <c r="K13" s="4">
        <v>3800000</v>
      </c>
      <c r="L13" s="4">
        <f t="shared" si="1"/>
        <v>19000000</v>
      </c>
      <c r="M13" s="2" t="s">
        <v>30</v>
      </c>
      <c r="N13" s="3" t="str">
        <f t="shared" si="2"/>
        <v>Menipis</v>
      </c>
      <c r="O13" s="2" t="s">
        <v>70</v>
      </c>
    </row>
    <row r="14" spans="1:15" x14ac:dyDescent="0.35">
      <c r="A14" s="5" t="s">
        <v>71</v>
      </c>
      <c r="B14" s="5" t="s">
        <v>72</v>
      </c>
      <c r="C14" s="5" t="s">
        <v>73</v>
      </c>
      <c r="D14" s="5" t="s">
        <v>74</v>
      </c>
      <c r="E14" s="5" t="s">
        <v>52</v>
      </c>
      <c r="F14" s="6" t="s">
        <v>75</v>
      </c>
      <c r="G14" s="6"/>
      <c r="H14" s="7">
        <v>100</v>
      </c>
      <c r="I14" s="7">
        <v>0</v>
      </c>
      <c r="J14" s="7">
        <f t="shared" si="0"/>
        <v>100</v>
      </c>
      <c r="K14" s="7">
        <v>240000</v>
      </c>
      <c r="L14" s="7">
        <f t="shared" si="1"/>
        <v>24000000</v>
      </c>
      <c r="M14" s="5" t="s">
        <v>35</v>
      </c>
      <c r="N14" s="6" t="str">
        <f t="shared" si="2"/>
        <v>Tersedia</v>
      </c>
      <c r="O14" s="5" t="s">
        <v>76</v>
      </c>
    </row>
    <row r="15" spans="1:15" x14ac:dyDescent="0.35">
      <c r="A15" s="2" t="s">
        <v>77</v>
      </c>
      <c r="B15" s="2" t="s">
        <v>16</v>
      </c>
      <c r="C15" s="2" t="s">
        <v>17</v>
      </c>
      <c r="D15" s="2" t="s">
        <v>18</v>
      </c>
      <c r="E15" s="2" t="s">
        <v>47</v>
      </c>
      <c r="F15" s="3" t="s">
        <v>29</v>
      </c>
      <c r="G15" s="3" t="s">
        <v>78</v>
      </c>
      <c r="H15" s="4">
        <v>100</v>
      </c>
      <c r="I15" s="4">
        <v>21</v>
      </c>
      <c r="J15" s="4">
        <f t="shared" si="0"/>
        <v>79</v>
      </c>
      <c r="K15" s="4">
        <v>45000</v>
      </c>
      <c r="L15" s="4">
        <f t="shared" si="1"/>
        <v>3555000</v>
      </c>
      <c r="M15" s="2" t="s">
        <v>30</v>
      </c>
      <c r="N15" s="3" t="str">
        <f t="shared" si="2"/>
        <v>Tersedia</v>
      </c>
      <c r="O15" s="2" t="s">
        <v>44</v>
      </c>
    </row>
    <row r="16" spans="1:15" x14ac:dyDescent="0.35">
      <c r="A16" s="5" t="s">
        <v>79</v>
      </c>
      <c r="B16" s="5" t="s">
        <v>80</v>
      </c>
      <c r="C16" s="5" t="s">
        <v>81</v>
      </c>
      <c r="D16" s="5" t="s">
        <v>82</v>
      </c>
      <c r="E16" s="5" t="s">
        <v>68</v>
      </c>
      <c r="F16" s="6" t="s">
        <v>83</v>
      </c>
      <c r="G16" s="6" t="s">
        <v>84</v>
      </c>
      <c r="H16" s="7">
        <v>150</v>
      </c>
      <c r="I16" s="7">
        <v>43</v>
      </c>
      <c r="J16" s="7">
        <f t="shared" si="0"/>
        <v>107</v>
      </c>
      <c r="K16" s="7">
        <v>280000</v>
      </c>
      <c r="L16" s="7">
        <f t="shared" si="1"/>
        <v>29960000</v>
      </c>
      <c r="M16" s="5" t="s">
        <v>85</v>
      </c>
      <c r="N16" s="6" t="str">
        <f t="shared" si="2"/>
        <v>Tersedia</v>
      </c>
      <c r="O16" s="5" t="s">
        <v>86</v>
      </c>
    </row>
    <row r="17" spans="1:15" x14ac:dyDescent="0.35">
      <c r="A17" s="2" t="s">
        <v>87</v>
      </c>
      <c r="B17" s="2" t="s">
        <v>88</v>
      </c>
      <c r="C17" s="2" t="s">
        <v>73</v>
      </c>
      <c r="D17" s="2" t="s">
        <v>74</v>
      </c>
      <c r="E17" s="2" t="s">
        <v>52</v>
      </c>
      <c r="F17" s="3" t="s">
        <v>89</v>
      </c>
      <c r="G17" s="3" t="s">
        <v>90</v>
      </c>
      <c r="H17" s="4">
        <v>50</v>
      </c>
      <c r="I17" s="4">
        <v>32</v>
      </c>
      <c r="J17" s="4">
        <f t="shared" si="0"/>
        <v>18</v>
      </c>
      <c r="K17" s="4">
        <v>650000</v>
      </c>
      <c r="L17" s="4">
        <f t="shared" si="1"/>
        <v>11700000</v>
      </c>
      <c r="M17" s="2" t="s">
        <v>85</v>
      </c>
      <c r="N17" s="3" t="str">
        <f t="shared" si="2"/>
        <v>Tersedia</v>
      </c>
      <c r="O17" s="2" t="s">
        <v>36</v>
      </c>
    </row>
    <row r="18" spans="1:15" x14ac:dyDescent="0.35">
      <c r="A18" s="5" t="s">
        <v>91</v>
      </c>
      <c r="B18" s="5" t="s">
        <v>33</v>
      </c>
      <c r="C18" s="5" t="s">
        <v>26</v>
      </c>
      <c r="D18" s="5" t="s">
        <v>27</v>
      </c>
      <c r="E18" s="5" t="s">
        <v>56</v>
      </c>
      <c r="F18" s="6" t="s">
        <v>92</v>
      </c>
      <c r="G18" s="6" t="s">
        <v>93</v>
      </c>
      <c r="H18" s="7">
        <v>100</v>
      </c>
      <c r="I18" s="7">
        <v>7</v>
      </c>
      <c r="J18" s="7">
        <f t="shared" si="0"/>
        <v>93</v>
      </c>
      <c r="K18" s="7">
        <v>12000</v>
      </c>
      <c r="L18" s="7">
        <f t="shared" si="1"/>
        <v>1116000</v>
      </c>
      <c r="M18" s="5" t="s">
        <v>30</v>
      </c>
      <c r="N18" s="6" t="str">
        <f t="shared" si="2"/>
        <v>Tersedia</v>
      </c>
      <c r="O18" s="5" t="s">
        <v>36</v>
      </c>
    </row>
    <row r="19" spans="1:15" x14ac:dyDescent="0.35">
      <c r="A19" s="2" t="s">
        <v>94</v>
      </c>
      <c r="B19" s="2" t="s">
        <v>95</v>
      </c>
      <c r="C19" s="2" t="s">
        <v>62</v>
      </c>
      <c r="D19" s="2" t="s">
        <v>63</v>
      </c>
      <c r="E19" s="2" t="s">
        <v>96</v>
      </c>
      <c r="F19" s="3" t="s">
        <v>97</v>
      </c>
      <c r="G19" s="3" t="s">
        <v>98</v>
      </c>
      <c r="H19" s="4">
        <v>100</v>
      </c>
      <c r="I19" s="4">
        <v>100</v>
      </c>
      <c r="J19" s="4">
        <f t="shared" si="0"/>
        <v>0</v>
      </c>
      <c r="K19" s="4">
        <v>850000</v>
      </c>
      <c r="L19" s="4">
        <f t="shared" si="1"/>
        <v>0</v>
      </c>
      <c r="M19" s="2" t="s">
        <v>43</v>
      </c>
      <c r="N19" s="3" t="str">
        <f t="shared" si="2"/>
        <v>Habis</v>
      </c>
      <c r="O19" s="2" t="s">
        <v>76</v>
      </c>
    </row>
    <row r="20" spans="1:15" x14ac:dyDescent="0.35">
      <c r="A20" s="5" t="s">
        <v>99</v>
      </c>
      <c r="B20" s="5" t="s">
        <v>100</v>
      </c>
      <c r="C20" s="5" t="s">
        <v>81</v>
      </c>
      <c r="D20" s="5" t="s">
        <v>82</v>
      </c>
      <c r="E20" s="5" t="s">
        <v>101</v>
      </c>
      <c r="F20" s="6" t="s">
        <v>102</v>
      </c>
      <c r="G20" s="6" t="s">
        <v>103</v>
      </c>
      <c r="H20" s="7">
        <v>200</v>
      </c>
      <c r="I20" s="7">
        <v>134</v>
      </c>
      <c r="J20" s="7">
        <f t="shared" si="0"/>
        <v>66</v>
      </c>
      <c r="K20" s="7">
        <v>220000</v>
      </c>
      <c r="L20" s="7">
        <f t="shared" si="1"/>
        <v>14520000</v>
      </c>
      <c r="M20" s="5" t="s">
        <v>43</v>
      </c>
      <c r="N20" s="6" t="str">
        <f t="shared" si="2"/>
        <v>Tersedia</v>
      </c>
      <c r="O20" s="5" t="s">
        <v>76</v>
      </c>
    </row>
    <row r="21" spans="1:15" x14ac:dyDescent="0.35">
      <c r="A21" s="2" t="s">
        <v>104</v>
      </c>
      <c r="B21" s="2" t="s">
        <v>72</v>
      </c>
      <c r="C21" s="2" t="s">
        <v>73</v>
      </c>
      <c r="D21" s="2" t="s">
        <v>74</v>
      </c>
      <c r="E21" s="2" t="s">
        <v>96</v>
      </c>
      <c r="F21" s="3" t="s">
        <v>105</v>
      </c>
      <c r="G21" s="3" t="s">
        <v>106</v>
      </c>
      <c r="H21" s="4">
        <v>150</v>
      </c>
      <c r="I21" s="4">
        <v>123</v>
      </c>
      <c r="J21" s="4">
        <f t="shared" si="0"/>
        <v>27</v>
      </c>
      <c r="K21" s="4">
        <v>240000</v>
      </c>
      <c r="L21" s="4">
        <f t="shared" si="1"/>
        <v>6480000</v>
      </c>
      <c r="M21" s="2" t="s">
        <v>22</v>
      </c>
      <c r="N21" s="3" t="str">
        <f t="shared" si="2"/>
        <v>Tersedia</v>
      </c>
      <c r="O21" s="2" t="s">
        <v>23</v>
      </c>
    </row>
    <row r="22" spans="1:15" x14ac:dyDescent="0.35">
      <c r="A22" s="5" t="s">
        <v>107</v>
      </c>
      <c r="B22" s="5" t="s">
        <v>108</v>
      </c>
      <c r="C22" s="5" t="s">
        <v>62</v>
      </c>
      <c r="D22" s="5" t="s">
        <v>63</v>
      </c>
      <c r="E22" s="5" t="s">
        <v>64</v>
      </c>
      <c r="F22" s="6" t="s">
        <v>109</v>
      </c>
      <c r="G22" s="6" t="s">
        <v>110</v>
      </c>
      <c r="H22" s="7">
        <v>150</v>
      </c>
      <c r="I22" s="7">
        <v>28</v>
      </c>
      <c r="J22" s="7">
        <f t="shared" si="0"/>
        <v>122</v>
      </c>
      <c r="K22" s="7">
        <v>650000</v>
      </c>
      <c r="L22" s="7">
        <f t="shared" si="1"/>
        <v>79300000</v>
      </c>
      <c r="M22" s="5" t="s">
        <v>30</v>
      </c>
      <c r="N22" s="6" t="str">
        <f t="shared" si="2"/>
        <v>Tersedia</v>
      </c>
      <c r="O22" s="5" t="s">
        <v>86</v>
      </c>
    </row>
    <row r="23" spans="1:15" x14ac:dyDescent="0.35">
      <c r="A23" s="2" t="s">
        <v>111</v>
      </c>
      <c r="B23" s="2" t="s">
        <v>67</v>
      </c>
      <c r="C23" s="2" t="s">
        <v>39</v>
      </c>
      <c r="D23" s="2" t="s">
        <v>40</v>
      </c>
      <c r="E23" s="2" t="s">
        <v>19</v>
      </c>
      <c r="F23" s="3" t="s">
        <v>112</v>
      </c>
      <c r="G23" s="3" t="s">
        <v>113</v>
      </c>
      <c r="H23" s="4">
        <v>2</v>
      </c>
      <c r="I23" s="4">
        <v>1</v>
      </c>
      <c r="J23" s="4">
        <f t="shared" si="0"/>
        <v>1</v>
      </c>
      <c r="K23" s="4">
        <v>3800000</v>
      </c>
      <c r="L23" s="4">
        <f t="shared" si="1"/>
        <v>3800000</v>
      </c>
      <c r="M23" s="2" t="s">
        <v>35</v>
      </c>
      <c r="N23" s="3" t="str">
        <f t="shared" si="2"/>
        <v>Menipis</v>
      </c>
      <c r="O23" s="2" t="s">
        <v>70</v>
      </c>
    </row>
    <row r="24" spans="1:15" x14ac:dyDescent="0.35">
      <c r="A24" s="5" t="s">
        <v>15</v>
      </c>
      <c r="B24" s="5" t="s">
        <v>114</v>
      </c>
      <c r="C24" s="5" t="s">
        <v>17</v>
      </c>
      <c r="D24" s="5" t="s">
        <v>18</v>
      </c>
      <c r="E24" s="5" t="s">
        <v>64</v>
      </c>
      <c r="F24" s="6" t="s">
        <v>115</v>
      </c>
      <c r="G24" s="6" t="s">
        <v>21</v>
      </c>
      <c r="H24" s="7">
        <v>200</v>
      </c>
      <c r="I24" s="7">
        <v>134</v>
      </c>
      <c r="J24" s="7">
        <f t="shared" si="0"/>
        <v>66</v>
      </c>
      <c r="K24" s="7">
        <v>85000</v>
      </c>
      <c r="L24" s="7">
        <f t="shared" si="1"/>
        <v>5610000</v>
      </c>
      <c r="M24" s="5" t="s">
        <v>35</v>
      </c>
      <c r="N24" s="6" t="str">
        <f t="shared" si="2"/>
        <v>Tersedia</v>
      </c>
      <c r="O24" s="5" t="s">
        <v>59</v>
      </c>
    </row>
    <row r="25" spans="1:15" x14ac:dyDescent="0.35">
      <c r="A25" s="2" t="s">
        <v>116</v>
      </c>
      <c r="B25" s="2" t="s">
        <v>117</v>
      </c>
      <c r="C25" s="2" t="s">
        <v>81</v>
      </c>
      <c r="D25" s="2" t="s">
        <v>82</v>
      </c>
      <c r="E25" s="2" t="s">
        <v>68</v>
      </c>
      <c r="F25" s="3" t="s">
        <v>118</v>
      </c>
      <c r="G25" s="3"/>
      <c r="H25" s="4">
        <v>50</v>
      </c>
      <c r="I25" s="4">
        <v>0</v>
      </c>
      <c r="J25" s="4">
        <f t="shared" si="0"/>
        <v>50</v>
      </c>
      <c r="K25" s="4">
        <v>310000</v>
      </c>
      <c r="L25" s="4">
        <f t="shared" si="1"/>
        <v>15500000</v>
      </c>
      <c r="M25" s="2" t="s">
        <v>35</v>
      </c>
      <c r="N25" s="3" t="str">
        <f t="shared" si="2"/>
        <v>Tersedia</v>
      </c>
      <c r="O25" s="2" t="s">
        <v>44</v>
      </c>
    </row>
    <row r="26" spans="1:15" x14ac:dyDescent="0.35">
      <c r="A26" s="5" t="s">
        <v>119</v>
      </c>
      <c r="B26" s="5" t="s">
        <v>120</v>
      </c>
      <c r="C26" s="5" t="s">
        <v>73</v>
      </c>
      <c r="D26" s="5" t="s">
        <v>74</v>
      </c>
      <c r="E26" s="5" t="s">
        <v>34</v>
      </c>
      <c r="F26" s="6" t="s">
        <v>121</v>
      </c>
      <c r="G26" s="6"/>
      <c r="H26" s="7">
        <v>20</v>
      </c>
      <c r="I26" s="7">
        <v>0</v>
      </c>
      <c r="J26" s="7">
        <f t="shared" si="0"/>
        <v>20</v>
      </c>
      <c r="K26" s="7">
        <v>75000</v>
      </c>
      <c r="L26" s="7">
        <f t="shared" si="1"/>
        <v>1500000</v>
      </c>
      <c r="M26" s="5" t="s">
        <v>43</v>
      </c>
      <c r="N26" s="6" t="str">
        <f t="shared" si="2"/>
        <v>Tersedia</v>
      </c>
      <c r="O26" s="5" t="s">
        <v>36</v>
      </c>
    </row>
    <row r="27" spans="1:15" x14ac:dyDescent="0.35">
      <c r="A27" s="2" t="s">
        <v>122</v>
      </c>
      <c r="B27" s="2" t="s">
        <v>123</v>
      </c>
      <c r="C27" s="2" t="s">
        <v>81</v>
      </c>
      <c r="D27" s="2" t="s">
        <v>82</v>
      </c>
      <c r="E27" s="2" t="s">
        <v>47</v>
      </c>
      <c r="F27" s="3" t="s">
        <v>124</v>
      </c>
      <c r="G27" s="3" t="s">
        <v>125</v>
      </c>
      <c r="H27" s="4">
        <v>100</v>
      </c>
      <c r="I27" s="4">
        <v>81</v>
      </c>
      <c r="J27" s="4">
        <f t="shared" si="0"/>
        <v>19</v>
      </c>
      <c r="K27" s="4">
        <v>1750000</v>
      </c>
      <c r="L27" s="4">
        <f t="shared" si="1"/>
        <v>33250000</v>
      </c>
      <c r="M27" s="2" t="s">
        <v>35</v>
      </c>
      <c r="N27" s="3" t="str">
        <f t="shared" si="2"/>
        <v>Tersedia</v>
      </c>
      <c r="O27" s="2" t="s">
        <v>86</v>
      </c>
    </row>
    <row r="28" spans="1:15" x14ac:dyDescent="0.35">
      <c r="A28" s="5" t="s">
        <v>126</v>
      </c>
      <c r="B28" s="5" t="s">
        <v>127</v>
      </c>
      <c r="C28" s="5" t="s">
        <v>39</v>
      </c>
      <c r="D28" s="5" t="s">
        <v>40</v>
      </c>
      <c r="E28" s="5" t="s">
        <v>101</v>
      </c>
      <c r="F28" s="6" t="s">
        <v>29</v>
      </c>
      <c r="G28" s="6" t="s">
        <v>128</v>
      </c>
      <c r="H28" s="7">
        <v>5</v>
      </c>
      <c r="I28" s="7">
        <v>3</v>
      </c>
      <c r="J28" s="7">
        <f t="shared" si="0"/>
        <v>2</v>
      </c>
      <c r="K28" s="7">
        <v>1550000</v>
      </c>
      <c r="L28" s="7">
        <f t="shared" si="1"/>
        <v>3100000</v>
      </c>
      <c r="M28" s="5" t="s">
        <v>85</v>
      </c>
      <c r="N28" s="6" t="str">
        <f t="shared" si="2"/>
        <v>Menipis</v>
      </c>
      <c r="O28" s="5" t="s">
        <v>76</v>
      </c>
    </row>
    <row r="29" spans="1:15" x14ac:dyDescent="0.35">
      <c r="A29" s="2" t="s">
        <v>129</v>
      </c>
      <c r="B29" s="2" t="s">
        <v>127</v>
      </c>
      <c r="C29" s="2" t="s">
        <v>39</v>
      </c>
      <c r="D29" s="2" t="s">
        <v>40</v>
      </c>
      <c r="E29" s="2" t="s">
        <v>19</v>
      </c>
      <c r="F29" s="3" t="s">
        <v>130</v>
      </c>
      <c r="G29" s="3" t="s">
        <v>131</v>
      </c>
      <c r="H29" s="4">
        <v>5</v>
      </c>
      <c r="I29" s="4">
        <v>4</v>
      </c>
      <c r="J29" s="4">
        <f t="shared" si="0"/>
        <v>1</v>
      </c>
      <c r="K29" s="4">
        <v>1550000</v>
      </c>
      <c r="L29" s="4">
        <f t="shared" si="1"/>
        <v>1550000</v>
      </c>
      <c r="M29" s="2" t="s">
        <v>30</v>
      </c>
      <c r="N29" s="3" t="str">
        <f t="shared" si="2"/>
        <v>Menipis</v>
      </c>
      <c r="O29" s="2" t="s">
        <v>76</v>
      </c>
    </row>
    <row r="30" spans="1:15" x14ac:dyDescent="0.35">
      <c r="A30" s="5" t="s">
        <v>132</v>
      </c>
      <c r="B30" s="5" t="s">
        <v>33</v>
      </c>
      <c r="C30" s="5" t="s">
        <v>26</v>
      </c>
      <c r="D30" s="5" t="s">
        <v>27</v>
      </c>
      <c r="E30" s="5" t="s">
        <v>96</v>
      </c>
      <c r="F30" s="6" t="s">
        <v>133</v>
      </c>
      <c r="G30" s="6" t="s">
        <v>134</v>
      </c>
      <c r="H30" s="7">
        <v>10</v>
      </c>
      <c r="I30" s="7">
        <v>6</v>
      </c>
      <c r="J30" s="7">
        <f t="shared" si="0"/>
        <v>4</v>
      </c>
      <c r="K30" s="7">
        <v>12000</v>
      </c>
      <c r="L30" s="7">
        <f t="shared" si="1"/>
        <v>48000</v>
      </c>
      <c r="M30" s="5" t="s">
        <v>85</v>
      </c>
      <c r="N30" s="6" t="str">
        <f t="shared" si="2"/>
        <v>Menipis</v>
      </c>
      <c r="O30" s="5" t="s">
        <v>59</v>
      </c>
    </row>
    <row r="31" spans="1:15" x14ac:dyDescent="0.35">
      <c r="A31" s="2" t="s">
        <v>135</v>
      </c>
      <c r="B31" s="2" t="s">
        <v>88</v>
      </c>
      <c r="C31" s="2" t="s">
        <v>73</v>
      </c>
      <c r="D31" s="2" t="s">
        <v>74</v>
      </c>
      <c r="E31" s="2" t="s">
        <v>47</v>
      </c>
      <c r="F31" s="3" t="s">
        <v>136</v>
      </c>
      <c r="G31" s="3"/>
      <c r="H31" s="4">
        <v>20</v>
      </c>
      <c r="I31" s="4">
        <v>0</v>
      </c>
      <c r="J31" s="4">
        <f t="shared" si="0"/>
        <v>20</v>
      </c>
      <c r="K31" s="4">
        <v>650000</v>
      </c>
      <c r="L31" s="4">
        <f t="shared" si="1"/>
        <v>13000000</v>
      </c>
      <c r="M31" s="2" t="s">
        <v>85</v>
      </c>
      <c r="N31" s="3" t="str">
        <f t="shared" si="2"/>
        <v>Tersedia</v>
      </c>
      <c r="O31" s="2" t="s">
        <v>86</v>
      </c>
    </row>
    <row r="32" spans="1:15" x14ac:dyDescent="0.35">
      <c r="A32" s="5" t="s">
        <v>137</v>
      </c>
      <c r="B32" s="5" t="s">
        <v>138</v>
      </c>
      <c r="C32" s="5" t="s">
        <v>62</v>
      </c>
      <c r="D32" s="5" t="s">
        <v>63</v>
      </c>
      <c r="E32" s="5" t="s">
        <v>64</v>
      </c>
      <c r="F32" s="6" t="s">
        <v>139</v>
      </c>
      <c r="G32" s="6" t="s">
        <v>140</v>
      </c>
      <c r="H32" s="7">
        <v>150</v>
      </c>
      <c r="I32" s="7">
        <v>113</v>
      </c>
      <c r="J32" s="7">
        <f t="shared" si="0"/>
        <v>37</v>
      </c>
      <c r="K32" s="7">
        <v>450000</v>
      </c>
      <c r="L32" s="7">
        <f t="shared" si="1"/>
        <v>16650000</v>
      </c>
      <c r="M32" s="5" t="s">
        <v>43</v>
      </c>
      <c r="N32" s="6" t="str">
        <f t="shared" si="2"/>
        <v>Tersedia</v>
      </c>
      <c r="O32" s="5" t="s">
        <v>59</v>
      </c>
    </row>
    <row r="33" spans="1:15" x14ac:dyDescent="0.35">
      <c r="A33" s="2" t="s">
        <v>141</v>
      </c>
      <c r="B33" s="2" t="s">
        <v>16</v>
      </c>
      <c r="C33" s="2" t="s">
        <v>17</v>
      </c>
      <c r="D33" s="2" t="s">
        <v>18</v>
      </c>
      <c r="E33" s="2" t="s">
        <v>64</v>
      </c>
      <c r="F33" s="3" t="s">
        <v>142</v>
      </c>
      <c r="G33" s="3" t="s">
        <v>143</v>
      </c>
      <c r="H33" s="4">
        <v>150</v>
      </c>
      <c r="I33" s="4">
        <v>145</v>
      </c>
      <c r="J33" s="4">
        <f t="shared" si="0"/>
        <v>5</v>
      </c>
      <c r="K33" s="4">
        <v>45000</v>
      </c>
      <c r="L33" s="4">
        <f t="shared" si="1"/>
        <v>225000</v>
      </c>
      <c r="M33" s="2" t="s">
        <v>85</v>
      </c>
      <c r="N33" s="3" t="str">
        <f t="shared" si="2"/>
        <v>Menipis</v>
      </c>
      <c r="O33" s="2" t="s">
        <v>31</v>
      </c>
    </row>
    <row r="34" spans="1:15" x14ac:dyDescent="0.35">
      <c r="A34" s="5" t="s">
        <v>54</v>
      </c>
      <c r="B34" s="5" t="s">
        <v>144</v>
      </c>
      <c r="C34" s="5" t="s">
        <v>39</v>
      </c>
      <c r="D34" s="5" t="s">
        <v>40</v>
      </c>
      <c r="E34" s="5" t="s">
        <v>96</v>
      </c>
      <c r="F34" s="6" t="s">
        <v>145</v>
      </c>
      <c r="G34" s="6" t="s">
        <v>146</v>
      </c>
      <c r="H34" s="7">
        <v>5</v>
      </c>
      <c r="I34" s="7">
        <v>2</v>
      </c>
      <c r="J34" s="7">
        <f t="shared" si="0"/>
        <v>3</v>
      </c>
      <c r="K34" s="7">
        <v>2450000</v>
      </c>
      <c r="L34" s="7">
        <f t="shared" si="1"/>
        <v>7350000</v>
      </c>
      <c r="M34" s="5" t="s">
        <v>30</v>
      </c>
      <c r="N34" s="6" t="str">
        <f t="shared" si="2"/>
        <v>Menipis</v>
      </c>
      <c r="O34" s="5" t="s">
        <v>23</v>
      </c>
    </row>
    <row r="35" spans="1:15" x14ac:dyDescent="0.35">
      <c r="A35" s="2" t="s">
        <v>147</v>
      </c>
      <c r="B35" s="2" t="s">
        <v>25</v>
      </c>
      <c r="C35" s="2" t="s">
        <v>26</v>
      </c>
      <c r="D35" s="2" t="s">
        <v>27</v>
      </c>
      <c r="E35" s="2" t="s">
        <v>47</v>
      </c>
      <c r="F35" s="3" t="s">
        <v>148</v>
      </c>
      <c r="G35" s="3" t="s">
        <v>48</v>
      </c>
      <c r="H35" s="4">
        <v>150</v>
      </c>
      <c r="I35" s="4">
        <v>23</v>
      </c>
      <c r="J35" s="4">
        <f t="shared" si="0"/>
        <v>127</v>
      </c>
      <c r="K35" s="4">
        <v>45000</v>
      </c>
      <c r="L35" s="4">
        <f t="shared" si="1"/>
        <v>5715000</v>
      </c>
      <c r="M35" s="2" t="s">
        <v>30</v>
      </c>
      <c r="N35" s="3" t="str">
        <f t="shared" si="2"/>
        <v>Tersedia</v>
      </c>
      <c r="O35" s="2" t="s">
        <v>70</v>
      </c>
    </row>
    <row r="36" spans="1:15" x14ac:dyDescent="0.35">
      <c r="A36" s="5" t="s">
        <v>149</v>
      </c>
      <c r="B36" s="5" t="s">
        <v>150</v>
      </c>
      <c r="C36" s="5" t="s">
        <v>81</v>
      </c>
      <c r="D36" s="5" t="s">
        <v>82</v>
      </c>
      <c r="E36" s="5" t="s">
        <v>151</v>
      </c>
      <c r="F36" s="6" t="s">
        <v>152</v>
      </c>
      <c r="G36" s="6" t="s">
        <v>153</v>
      </c>
      <c r="H36" s="7">
        <v>150</v>
      </c>
      <c r="I36" s="7">
        <v>114</v>
      </c>
      <c r="J36" s="7">
        <f t="shared" si="0"/>
        <v>36</v>
      </c>
      <c r="K36" s="7">
        <v>85000</v>
      </c>
      <c r="L36" s="7">
        <f t="shared" si="1"/>
        <v>3060000</v>
      </c>
      <c r="M36" s="5" t="s">
        <v>43</v>
      </c>
      <c r="N36" s="6" t="str">
        <f t="shared" si="2"/>
        <v>Tersedia</v>
      </c>
      <c r="O36" s="5" t="s">
        <v>70</v>
      </c>
    </row>
    <row r="37" spans="1:15" x14ac:dyDescent="0.35">
      <c r="A37" s="2" t="s">
        <v>154</v>
      </c>
      <c r="B37" s="2" t="s">
        <v>46</v>
      </c>
      <c r="C37" s="2" t="s">
        <v>26</v>
      </c>
      <c r="D37" s="2" t="s">
        <v>27</v>
      </c>
      <c r="E37" s="2" t="s">
        <v>47</v>
      </c>
      <c r="F37" s="3" t="s">
        <v>155</v>
      </c>
      <c r="G37" s="3" t="s">
        <v>156</v>
      </c>
      <c r="H37" s="4">
        <v>10</v>
      </c>
      <c r="I37" s="4">
        <v>3</v>
      </c>
      <c r="J37" s="4">
        <f t="shared" si="0"/>
        <v>7</v>
      </c>
      <c r="K37" s="4">
        <v>35000</v>
      </c>
      <c r="L37" s="4">
        <f t="shared" si="1"/>
        <v>245000</v>
      </c>
      <c r="M37" s="2" t="s">
        <v>43</v>
      </c>
      <c r="N37" s="3" t="str">
        <f t="shared" si="2"/>
        <v>Tersedia</v>
      </c>
      <c r="O37" s="2" t="s">
        <v>76</v>
      </c>
    </row>
    <row r="38" spans="1:15" x14ac:dyDescent="0.35">
      <c r="A38" s="5" t="s">
        <v>157</v>
      </c>
      <c r="B38" s="5" t="s">
        <v>158</v>
      </c>
      <c r="C38" s="5" t="s">
        <v>26</v>
      </c>
      <c r="D38" s="5" t="s">
        <v>27</v>
      </c>
      <c r="E38" s="5" t="s">
        <v>34</v>
      </c>
      <c r="F38" s="6" t="s">
        <v>159</v>
      </c>
      <c r="G38" s="6" t="s">
        <v>160</v>
      </c>
      <c r="H38" s="7">
        <v>10</v>
      </c>
      <c r="I38" s="7">
        <v>3</v>
      </c>
      <c r="J38" s="7">
        <f t="shared" si="0"/>
        <v>7</v>
      </c>
      <c r="K38" s="7">
        <v>65000</v>
      </c>
      <c r="L38" s="7">
        <f t="shared" si="1"/>
        <v>455000</v>
      </c>
      <c r="M38" s="5" t="s">
        <v>85</v>
      </c>
      <c r="N38" s="6" t="str">
        <f t="shared" si="2"/>
        <v>Tersedia</v>
      </c>
      <c r="O38" s="5" t="s">
        <v>31</v>
      </c>
    </row>
    <row r="39" spans="1:15" x14ac:dyDescent="0.35">
      <c r="A39" s="2" t="s">
        <v>161</v>
      </c>
      <c r="B39" s="2" t="s">
        <v>25</v>
      </c>
      <c r="C39" s="2" t="s">
        <v>26</v>
      </c>
      <c r="D39" s="2" t="s">
        <v>27</v>
      </c>
      <c r="E39" s="2" t="s">
        <v>52</v>
      </c>
      <c r="F39" s="3" t="s">
        <v>162</v>
      </c>
      <c r="G39" s="3" t="s">
        <v>163</v>
      </c>
      <c r="H39" s="4">
        <v>20</v>
      </c>
      <c r="I39" s="4">
        <v>2</v>
      </c>
      <c r="J39" s="4">
        <f t="shared" si="0"/>
        <v>18</v>
      </c>
      <c r="K39" s="4">
        <v>45000</v>
      </c>
      <c r="L39" s="4">
        <f t="shared" si="1"/>
        <v>810000</v>
      </c>
      <c r="M39" s="2" t="s">
        <v>85</v>
      </c>
      <c r="N39" s="3" t="str">
        <f t="shared" si="2"/>
        <v>Tersedia</v>
      </c>
      <c r="O39" s="2" t="s">
        <v>59</v>
      </c>
    </row>
    <row r="40" spans="1:15" x14ac:dyDescent="0.35">
      <c r="A40" s="5" t="s">
        <v>164</v>
      </c>
      <c r="B40" s="5" t="s">
        <v>165</v>
      </c>
      <c r="C40" s="5" t="s">
        <v>17</v>
      </c>
      <c r="D40" s="5" t="s">
        <v>18</v>
      </c>
      <c r="E40" s="5" t="s">
        <v>47</v>
      </c>
      <c r="F40" s="6" t="s">
        <v>166</v>
      </c>
      <c r="G40" s="6" t="s">
        <v>167</v>
      </c>
      <c r="H40" s="7">
        <v>20</v>
      </c>
      <c r="I40" s="7">
        <v>15</v>
      </c>
      <c r="J40" s="7">
        <f t="shared" si="0"/>
        <v>5</v>
      </c>
      <c r="K40" s="7">
        <v>35000</v>
      </c>
      <c r="L40" s="7">
        <f t="shared" si="1"/>
        <v>175000</v>
      </c>
      <c r="M40" s="5" t="s">
        <v>43</v>
      </c>
      <c r="N40" s="6" t="str">
        <f t="shared" si="2"/>
        <v>Menipis</v>
      </c>
      <c r="O40" s="5" t="s">
        <v>44</v>
      </c>
    </row>
    <row r="41" spans="1:15" x14ac:dyDescent="0.35">
      <c r="A41" s="2" t="s">
        <v>168</v>
      </c>
      <c r="B41" s="2" t="s">
        <v>144</v>
      </c>
      <c r="C41" s="2" t="s">
        <v>39</v>
      </c>
      <c r="D41" s="2" t="s">
        <v>40</v>
      </c>
      <c r="E41" s="2" t="s">
        <v>52</v>
      </c>
      <c r="F41" s="3" t="s">
        <v>169</v>
      </c>
      <c r="G41" s="3" t="s">
        <v>170</v>
      </c>
      <c r="H41" s="4">
        <v>10</v>
      </c>
      <c r="I41" s="4">
        <v>2</v>
      </c>
      <c r="J41" s="4">
        <f t="shared" si="0"/>
        <v>8</v>
      </c>
      <c r="K41" s="4">
        <v>2450000</v>
      </c>
      <c r="L41" s="4">
        <f t="shared" si="1"/>
        <v>19600000</v>
      </c>
      <c r="M41" s="2" t="s">
        <v>22</v>
      </c>
      <c r="N41" s="3" t="str">
        <f t="shared" si="2"/>
        <v>Tersedia</v>
      </c>
      <c r="O41" s="2" t="s">
        <v>36</v>
      </c>
    </row>
    <row r="42" spans="1:15" x14ac:dyDescent="0.35">
      <c r="A42" s="5" t="s">
        <v>94</v>
      </c>
      <c r="B42" s="5" t="s">
        <v>95</v>
      </c>
      <c r="C42" s="5" t="s">
        <v>62</v>
      </c>
      <c r="D42" s="5" t="s">
        <v>63</v>
      </c>
      <c r="E42" s="5" t="s">
        <v>34</v>
      </c>
      <c r="F42" s="6" t="s">
        <v>171</v>
      </c>
      <c r="G42" s="6" t="s">
        <v>172</v>
      </c>
      <c r="H42" s="7">
        <v>200</v>
      </c>
      <c r="I42" s="7">
        <v>26</v>
      </c>
      <c r="J42" s="7">
        <f t="shared" si="0"/>
        <v>174</v>
      </c>
      <c r="K42" s="7">
        <v>850000</v>
      </c>
      <c r="L42" s="7">
        <f t="shared" si="1"/>
        <v>147900000</v>
      </c>
      <c r="M42" s="5" t="s">
        <v>35</v>
      </c>
      <c r="N42" s="6" t="str">
        <f t="shared" si="2"/>
        <v>Tersedia</v>
      </c>
      <c r="O42" s="5" t="s">
        <v>86</v>
      </c>
    </row>
    <row r="43" spans="1:15" x14ac:dyDescent="0.35">
      <c r="A43" s="2" t="s">
        <v>173</v>
      </c>
      <c r="B43" s="2" t="s">
        <v>165</v>
      </c>
      <c r="C43" s="2" t="s">
        <v>17</v>
      </c>
      <c r="D43" s="2" t="s">
        <v>18</v>
      </c>
      <c r="E43" s="2" t="s">
        <v>64</v>
      </c>
      <c r="F43" s="3" t="s">
        <v>174</v>
      </c>
      <c r="G43" s="3" t="s">
        <v>175</v>
      </c>
      <c r="H43" s="4">
        <v>20</v>
      </c>
      <c r="I43" s="4">
        <v>13</v>
      </c>
      <c r="J43" s="4">
        <f t="shared" si="0"/>
        <v>7</v>
      </c>
      <c r="K43" s="4">
        <v>35000</v>
      </c>
      <c r="L43" s="4">
        <f t="shared" si="1"/>
        <v>245000</v>
      </c>
      <c r="M43" s="2" t="s">
        <v>30</v>
      </c>
      <c r="N43" s="3" t="str">
        <f t="shared" si="2"/>
        <v>Tersedia</v>
      </c>
      <c r="O43" s="2" t="s">
        <v>86</v>
      </c>
    </row>
    <row r="44" spans="1:15" x14ac:dyDescent="0.35">
      <c r="A44" s="5" t="s">
        <v>176</v>
      </c>
      <c r="B44" s="5" t="s">
        <v>25</v>
      </c>
      <c r="C44" s="5" t="s">
        <v>26</v>
      </c>
      <c r="D44" s="5" t="s">
        <v>27</v>
      </c>
      <c r="E44" s="5" t="s">
        <v>19</v>
      </c>
      <c r="F44" s="6" t="s">
        <v>177</v>
      </c>
      <c r="G44" s="6"/>
      <c r="H44" s="7">
        <v>150</v>
      </c>
      <c r="I44" s="7">
        <v>0</v>
      </c>
      <c r="J44" s="7">
        <f t="shared" si="0"/>
        <v>150</v>
      </c>
      <c r="K44" s="7">
        <v>45000</v>
      </c>
      <c r="L44" s="7">
        <f t="shared" si="1"/>
        <v>6750000</v>
      </c>
      <c r="M44" s="5" t="s">
        <v>85</v>
      </c>
      <c r="N44" s="6" t="str">
        <f t="shared" si="2"/>
        <v>Tersedia</v>
      </c>
      <c r="O44" s="5" t="s">
        <v>59</v>
      </c>
    </row>
    <row r="45" spans="1:15" x14ac:dyDescent="0.35">
      <c r="A45" s="2" t="s">
        <v>178</v>
      </c>
      <c r="B45" s="2" t="s">
        <v>144</v>
      </c>
      <c r="C45" s="2" t="s">
        <v>39</v>
      </c>
      <c r="D45" s="2" t="s">
        <v>40</v>
      </c>
      <c r="E45" s="2" t="s">
        <v>96</v>
      </c>
      <c r="F45" s="3" t="s">
        <v>177</v>
      </c>
      <c r="G45" s="3" t="s">
        <v>179</v>
      </c>
      <c r="H45" s="4">
        <v>2</v>
      </c>
      <c r="I45" s="4">
        <v>2</v>
      </c>
      <c r="J45" s="4">
        <f t="shared" si="0"/>
        <v>0</v>
      </c>
      <c r="K45" s="4">
        <v>2450000</v>
      </c>
      <c r="L45" s="4">
        <f t="shared" si="1"/>
        <v>0</v>
      </c>
      <c r="M45" s="2" t="s">
        <v>30</v>
      </c>
      <c r="N45" s="3" t="str">
        <f t="shared" si="2"/>
        <v>Habis</v>
      </c>
      <c r="O45" s="2" t="s">
        <v>23</v>
      </c>
    </row>
    <row r="46" spans="1:15" x14ac:dyDescent="0.35">
      <c r="A46" s="5" t="s">
        <v>32</v>
      </c>
      <c r="B46" s="5" t="s">
        <v>25</v>
      </c>
      <c r="C46" s="5" t="s">
        <v>26</v>
      </c>
      <c r="D46" s="5" t="s">
        <v>27</v>
      </c>
      <c r="E46" s="5" t="s">
        <v>47</v>
      </c>
      <c r="F46" s="6" t="s">
        <v>180</v>
      </c>
      <c r="G46" s="6"/>
      <c r="H46" s="7">
        <v>20</v>
      </c>
      <c r="I46" s="7">
        <v>0</v>
      </c>
      <c r="J46" s="7">
        <f t="shared" si="0"/>
        <v>20</v>
      </c>
      <c r="K46" s="7">
        <v>45000</v>
      </c>
      <c r="L46" s="7">
        <f t="shared" si="1"/>
        <v>900000</v>
      </c>
      <c r="M46" s="5" t="s">
        <v>22</v>
      </c>
      <c r="N46" s="6" t="str">
        <f t="shared" si="2"/>
        <v>Tersedia</v>
      </c>
      <c r="O46" s="5" t="s">
        <v>76</v>
      </c>
    </row>
    <row r="47" spans="1:15" x14ac:dyDescent="0.35">
      <c r="A47" s="2" t="s">
        <v>181</v>
      </c>
      <c r="B47" s="2" t="s">
        <v>158</v>
      </c>
      <c r="C47" s="2" t="s">
        <v>26</v>
      </c>
      <c r="D47" s="2" t="s">
        <v>27</v>
      </c>
      <c r="E47" s="2" t="s">
        <v>34</v>
      </c>
      <c r="F47" s="3" t="s">
        <v>182</v>
      </c>
      <c r="G47" s="3"/>
      <c r="H47" s="4">
        <v>20</v>
      </c>
      <c r="I47" s="4">
        <v>0</v>
      </c>
      <c r="J47" s="4">
        <f t="shared" si="0"/>
        <v>20</v>
      </c>
      <c r="K47" s="4">
        <v>65000</v>
      </c>
      <c r="L47" s="4">
        <f t="shared" si="1"/>
        <v>1300000</v>
      </c>
      <c r="M47" s="2" t="s">
        <v>85</v>
      </c>
      <c r="N47" s="3" t="str">
        <f t="shared" si="2"/>
        <v>Tersedia</v>
      </c>
      <c r="O47" s="2" t="s">
        <v>36</v>
      </c>
    </row>
    <row r="48" spans="1:15" x14ac:dyDescent="0.35">
      <c r="A48" s="5" t="s">
        <v>183</v>
      </c>
      <c r="B48" s="5" t="s">
        <v>184</v>
      </c>
      <c r="C48" s="5" t="s">
        <v>62</v>
      </c>
      <c r="D48" s="5" t="s">
        <v>63</v>
      </c>
      <c r="E48" s="5" t="s">
        <v>52</v>
      </c>
      <c r="F48" s="6" t="s">
        <v>185</v>
      </c>
      <c r="G48" s="6" t="s">
        <v>186</v>
      </c>
      <c r="H48" s="7">
        <v>10</v>
      </c>
      <c r="I48" s="7">
        <v>3</v>
      </c>
      <c r="J48" s="7">
        <f t="shared" si="0"/>
        <v>7</v>
      </c>
      <c r="K48" s="7">
        <v>1250000</v>
      </c>
      <c r="L48" s="7">
        <f t="shared" si="1"/>
        <v>8750000</v>
      </c>
      <c r="M48" s="5" t="s">
        <v>43</v>
      </c>
      <c r="N48" s="6" t="str">
        <f t="shared" si="2"/>
        <v>Tersedia</v>
      </c>
      <c r="O48" s="5" t="s">
        <v>59</v>
      </c>
    </row>
    <row r="49" spans="1:15" x14ac:dyDescent="0.35">
      <c r="A49" s="2" t="s">
        <v>187</v>
      </c>
      <c r="B49" s="2" t="s">
        <v>123</v>
      </c>
      <c r="C49" s="2" t="s">
        <v>81</v>
      </c>
      <c r="D49" s="2" t="s">
        <v>82</v>
      </c>
      <c r="E49" s="2" t="s">
        <v>52</v>
      </c>
      <c r="F49" s="3" t="s">
        <v>188</v>
      </c>
      <c r="G49" s="3" t="s">
        <v>189</v>
      </c>
      <c r="H49" s="4">
        <v>100</v>
      </c>
      <c r="I49" s="4">
        <v>24</v>
      </c>
      <c r="J49" s="4">
        <f t="shared" si="0"/>
        <v>76</v>
      </c>
      <c r="K49" s="4">
        <v>1750000</v>
      </c>
      <c r="L49" s="4">
        <f t="shared" si="1"/>
        <v>133000000</v>
      </c>
      <c r="M49" s="2" t="s">
        <v>43</v>
      </c>
      <c r="N49" s="3" t="str">
        <f t="shared" si="2"/>
        <v>Tersedia</v>
      </c>
      <c r="O49" s="2" t="s">
        <v>23</v>
      </c>
    </row>
    <row r="50" spans="1:15" x14ac:dyDescent="0.35">
      <c r="A50" s="5" t="s">
        <v>190</v>
      </c>
      <c r="B50" s="5" t="s">
        <v>117</v>
      </c>
      <c r="C50" s="5" t="s">
        <v>81</v>
      </c>
      <c r="D50" s="5" t="s">
        <v>82</v>
      </c>
      <c r="E50" s="5" t="s">
        <v>47</v>
      </c>
      <c r="F50" s="6" t="s">
        <v>191</v>
      </c>
      <c r="G50" s="6"/>
      <c r="H50" s="7">
        <v>50</v>
      </c>
      <c r="I50" s="7">
        <v>0</v>
      </c>
      <c r="J50" s="7">
        <f t="shared" si="0"/>
        <v>50</v>
      </c>
      <c r="K50" s="7">
        <v>310000</v>
      </c>
      <c r="L50" s="7">
        <f t="shared" si="1"/>
        <v>15500000</v>
      </c>
      <c r="M50" s="5" t="s">
        <v>22</v>
      </c>
      <c r="N50" s="6" t="str">
        <f t="shared" si="2"/>
        <v>Tersedia</v>
      </c>
      <c r="O50" s="5" t="s">
        <v>59</v>
      </c>
    </row>
    <row r="51" spans="1:15" x14ac:dyDescent="0.35">
      <c r="A51" s="2" t="s">
        <v>192</v>
      </c>
      <c r="B51" s="2" t="s">
        <v>123</v>
      </c>
      <c r="C51" s="2" t="s">
        <v>81</v>
      </c>
      <c r="D51" s="2" t="s">
        <v>82</v>
      </c>
      <c r="E51" s="2" t="s">
        <v>101</v>
      </c>
      <c r="F51" s="3" t="s">
        <v>193</v>
      </c>
      <c r="G51" s="3" t="s">
        <v>194</v>
      </c>
      <c r="H51" s="4">
        <v>20</v>
      </c>
      <c r="I51" s="4">
        <v>18</v>
      </c>
      <c r="J51" s="4">
        <f t="shared" si="0"/>
        <v>2</v>
      </c>
      <c r="K51" s="4">
        <v>1750000</v>
      </c>
      <c r="L51" s="4">
        <f t="shared" si="1"/>
        <v>3500000</v>
      </c>
      <c r="M51" s="2" t="s">
        <v>85</v>
      </c>
      <c r="N51" s="3" t="str">
        <f t="shared" si="2"/>
        <v>Menipis</v>
      </c>
      <c r="O51" s="2" t="s">
        <v>59</v>
      </c>
    </row>
    <row r="52" spans="1:15" x14ac:dyDescent="0.35">
      <c r="A52" s="5" t="s">
        <v>195</v>
      </c>
      <c r="B52" s="5" t="s">
        <v>55</v>
      </c>
      <c r="C52" s="5" t="s">
        <v>39</v>
      </c>
      <c r="D52" s="5" t="s">
        <v>40</v>
      </c>
      <c r="E52" s="5" t="s">
        <v>151</v>
      </c>
      <c r="F52" s="6" t="s">
        <v>196</v>
      </c>
      <c r="G52" s="6" t="s">
        <v>197</v>
      </c>
      <c r="H52" s="7">
        <v>2</v>
      </c>
      <c r="I52" s="7">
        <v>1</v>
      </c>
      <c r="J52" s="7">
        <f t="shared" si="0"/>
        <v>1</v>
      </c>
      <c r="K52" s="7">
        <v>1850000</v>
      </c>
      <c r="L52" s="7">
        <f t="shared" si="1"/>
        <v>1850000</v>
      </c>
      <c r="M52" s="5" t="s">
        <v>85</v>
      </c>
      <c r="N52" s="6" t="str">
        <f t="shared" si="2"/>
        <v>Menipis</v>
      </c>
      <c r="O52" s="5" t="s">
        <v>86</v>
      </c>
    </row>
    <row r="53" spans="1:15" x14ac:dyDescent="0.35">
      <c r="A53" s="2" t="s">
        <v>198</v>
      </c>
      <c r="B53" s="2" t="s">
        <v>95</v>
      </c>
      <c r="C53" s="2" t="s">
        <v>62</v>
      </c>
      <c r="D53" s="2" t="s">
        <v>63</v>
      </c>
      <c r="E53" s="2" t="s">
        <v>151</v>
      </c>
      <c r="F53" s="3" t="s">
        <v>133</v>
      </c>
      <c r="G53" s="3" t="s">
        <v>199</v>
      </c>
      <c r="H53" s="4">
        <v>200</v>
      </c>
      <c r="I53" s="4">
        <v>39</v>
      </c>
      <c r="J53" s="4">
        <f t="shared" si="0"/>
        <v>161</v>
      </c>
      <c r="K53" s="4">
        <v>850000</v>
      </c>
      <c r="L53" s="4">
        <f t="shared" si="1"/>
        <v>136850000</v>
      </c>
      <c r="M53" s="2" t="s">
        <v>22</v>
      </c>
      <c r="N53" s="3" t="str">
        <f t="shared" si="2"/>
        <v>Tersedia</v>
      </c>
      <c r="O53" s="2" t="s">
        <v>44</v>
      </c>
    </row>
    <row r="54" spans="1:15" x14ac:dyDescent="0.35">
      <c r="A54" s="5" t="s">
        <v>200</v>
      </c>
      <c r="B54" s="5" t="s">
        <v>108</v>
      </c>
      <c r="C54" s="5" t="s">
        <v>62</v>
      </c>
      <c r="D54" s="5" t="s">
        <v>63</v>
      </c>
      <c r="E54" s="5" t="s">
        <v>56</v>
      </c>
      <c r="F54" s="6" t="s">
        <v>115</v>
      </c>
      <c r="G54" s="6"/>
      <c r="H54" s="7">
        <v>100</v>
      </c>
      <c r="I54" s="7">
        <v>0</v>
      </c>
      <c r="J54" s="7">
        <f t="shared" si="0"/>
        <v>100</v>
      </c>
      <c r="K54" s="7">
        <v>650000</v>
      </c>
      <c r="L54" s="7">
        <f t="shared" si="1"/>
        <v>65000000</v>
      </c>
      <c r="M54" s="5" t="s">
        <v>35</v>
      </c>
      <c r="N54" s="6" t="str">
        <f t="shared" si="2"/>
        <v>Tersedia</v>
      </c>
      <c r="O54" s="5" t="s">
        <v>76</v>
      </c>
    </row>
    <row r="55" spans="1:15" x14ac:dyDescent="0.35">
      <c r="A55" s="2" t="s">
        <v>201</v>
      </c>
      <c r="B55" s="2" t="s">
        <v>72</v>
      </c>
      <c r="C55" s="2" t="s">
        <v>73</v>
      </c>
      <c r="D55" s="2" t="s">
        <v>74</v>
      </c>
      <c r="E55" s="2" t="s">
        <v>34</v>
      </c>
      <c r="F55" s="3" t="s">
        <v>202</v>
      </c>
      <c r="G55" s="3" t="s">
        <v>203</v>
      </c>
      <c r="H55" s="4">
        <v>200</v>
      </c>
      <c r="I55" s="4">
        <v>198</v>
      </c>
      <c r="J55" s="4">
        <f t="shared" si="0"/>
        <v>2</v>
      </c>
      <c r="K55" s="4">
        <v>240000</v>
      </c>
      <c r="L55" s="4">
        <f t="shared" si="1"/>
        <v>480000</v>
      </c>
      <c r="M55" s="2" t="s">
        <v>43</v>
      </c>
      <c r="N55" s="3" t="str">
        <f t="shared" si="2"/>
        <v>Menipis</v>
      </c>
      <c r="O55" s="2" t="s">
        <v>70</v>
      </c>
    </row>
    <row r="56" spans="1:15" x14ac:dyDescent="0.35">
      <c r="A56" s="5" t="s">
        <v>111</v>
      </c>
      <c r="B56" s="5" t="s">
        <v>55</v>
      </c>
      <c r="C56" s="5" t="s">
        <v>39</v>
      </c>
      <c r="D56" s="5" t="s">
        <v>40</v>
      </c>
      <c r="E56" s="5" t="s">
        <v>19</v>
      </c>
      <c r="F56" s="6" t="s">
        <v>204</v>
      </c>
      <c r="G56" s="6"/>
      <c r="H56" s="7">
        <v>5</v>
      </c>
      <c r="I56" s="7">
        <v>0</v>
      </c>
      <c r="J56" s="7">
        <f t="shared" si="0"/>
        <v>5</v>
      </c>
      <c r="K56" s="7">
        <v>1850000</v>
      </c>
      <c r="L56" s="7">
        <f t="shared" si="1"/>
        <v>9250000</v>
      </c>
      <c r="M56" s="5" t="s">
        <v>30</v>
      </c>
      <c r="N56" s="6" t="str">
        <f t="shared" si="2"/>
        <v>Menipis</v>
      </c>
      <c r="O56" s="5" t="s">
        <v>70</v>
      </c>
    </row>
    <row r="57" spans="1:15" x14ac:dyDescent="0.35">
      <c r="A57" s="2" t="s">
        <v>205</v>
      </c>
      <c r="B57" s="2" t="s">
        <v>206</v>
      </c>
      <c r="C57" s="2" t="s">
        <v>73</v>
      </c>
      <c r="D57" s="2" t="s">
        <v>74</v>
      </c>
      <c r="E57" s="2" t="s">
        <v>19</v>
      </c>
      <c r="F57" s="3" t="s">
        <v>207</v>
      </c>
      <c r="G57" s="3"/>
      <c r="H57" s="4">
        <v>100</v>
      </c>
      <c r="I57" s="4">
        <v>0</v>
      </c>
      <c r="J57" s="4">
        <f t="shared" si="0"/>
        <v>100</v>
      </c>
      <c r="K57" s="4">
        <v>45000</v>
      </c>
      <c r="L57" s="4">
        <f t="shared" si="1"/>
        <v>4500000</v>
      </c>
      <c r="M57" s="2" t="s">
        <v>85</v>
      </c>
      <c r="N57" s="3" t="str">
        <f t="shared" si="2"/>
        <v>Tersedia</v>
      </c>
      <c r="O57" s="2" t="s">
        <v>31</v>
      </c>
    </row>
    <row r="58" spans="1:15" x14ac:dyDescent="0.35">
      <c r="A58" s="5" t="s">
        <v>79</v>
      </c>
      <c r="B58" s="5" t="s">
        <v>206</v>
      </c>
      <c r="C58" s="5" t="s">
        <v>73</v>
      </c>
      <c r="D58" s="5" t="s">
        <v>74</v>
      </c>
      <c r="E58" s="5" t="s">
        <v>47</v>
      </c>
      <c r="F58" s="6" t="s">
        <v>208</v>
      </c>
      <c r="G58" s="6" t="s">
        <v>209</v>
      </c>
      <c r="H58" s="7">
        <v>10</v>
      </c>
      <c r="I58" s="7">
        <v>9</v>
      </c>
      <c r="J58" s="7">
        <f t="shared" si="0"/>
        <v>1</v>
      </c>
      <c r="K58" s="7">
        <v>45000</v>
      </c>
      <c r="L58" s="7">
        <f t="shared" si="1"/>
        <v>45000</v>
      </c>
      <c r="M58" s="5" t="s">
        <v>30</v>
      </c>
      <c r="N58" s="6" t="str">
        <f t="shared" si="2"/>
        <v>Menipis</v>
      </c>
      <c r="O58" s="5" t="s">
        <v>70</v>
      </c>
    </row>
    <row r="59" spans="1:15" x14ac:dyDescent="0.35">
      <c r="A59" s="2" t="s">
        <v>210</v>
      </c>
      <c r="B59" s="2" t="s">
        <v>61</v>
      </c>
      <c r="C59" s="2" t="s">
        <v>62</v>
      </c>
      <c r="D59" s="2" t="s">
        <v>63</v>
      </c>
      <c r="E59" s="2" t="s">
        <v>56</v>
      </c>
      <c r="F59" s="3" t="s">
        <v>211</v>
      </c>
      <c r="G59" s="3" t="s">
        <v>212</v>
      </c>
      <c r="H59" s="4">
        <v>10</v>
      </c>
      <c r="I59" s="4">
        <v>7</v>
      </c>
      <c r="J59" s="4">
        <f t="shared" si="0"/>
        <v>3</v>
      </c>
      <c r="K59" s="4">
        <v>350000</v>
      </c>
      <c r="L59" s="4">
        <f t="shared" si="1"/>
        <v>1050000</v>
      </c>
      <c r="M59" s="2" t="s">
        <v>22</v>
      </c>
      <c r="N59" s="3" t="str">
        <f t="shared" si="2"/>
        <v>Menipis</v>
      </c>
      <c r="O59" s="2" t="s">
        <v>23</v>
      </c>
    </row>
    <row r="60" spans="1:15" x14ac:dyDescent="0.35">
      <c r="A60" s="5" t="s">
        <v>213</v>
      </c>
      <c r="B60" s="5" t="s">
        <v>88</v>
      </c>
      <c r="C60" s="5" t="s">
        <v>73</v>
      </c>
      <c r="D60" s="5" t="s">
        <v>74</v>
      </c>
      <c r="E60" s="5" t="s">
        <v>56</v>
      </c>
      <c r="F60" s="6" t="s">
        <v>214</v>
      </c>
      <c r="G60" s="6" t="s">
        <v>215</v>
      </c>
      <c r="H60" s="7">
        <v>100</v>
      </c>
      <c r="I60" s="7">
        <v>23</v>
      </c>
      <c r="J60" s="7">
        <f t="shared" si="0"/>
        <v>77</v>
      </c>
      <c r="K60" s="7">
        <v>650000</v>
      </c>
      <c r="L60" s="7">
        <f t="shared" si="1"/>
        <v>50050000</v>
      </c>
      <c r="M60" s="5" t="s">
        <v>30</v>
      </c>
      <c r="N60" s="6" t="str">
        <f t="shared" si="2"/>
        <v>Tersedia</v>
      </c>
      <c r="O60" s="5" t="s">
        <v>59</v>
      </c>
    </row>
    <row r="61" spans="1:15" x14ac:dyDescent="0.35">
      <c r="A61" s="2" t="s">
        <v>216</v>
      </c>
      <c r="B61" s="2" t="s">
        <v>217</v>
      </c>
      <c r="C61" s="2" t="s">
        <v>26</v>
      </c>
      <c r="D61" s="2" t="s">
        <v>27</v>
      </c>
      <c r="E61" s="2" t="s">
        <v>68</v>
      </c>
      <c r="F61" s="3" t="s">
        <v>218</v>
      </c>
      <c r="G61" s="3"/>
      <c r="H61" s="4">
        <v>100</v>
      </c>
      <c r="I61" s="4">
        <v>0</v>
      </c>
      <c r="J61" s="4">
        <f t="shared" si="0"/>
        <v>100</v>
      </c>
      <c r="K61" s="4">
        <v>55000</v>
      </c>
      <c r="L61" s="4">
        <f t="shared" si="1"/>
        <v>5500000</v>
      </c>
      <c r="M61" s="2" t="s">
        <v>22</v>
      </c>
      <c r="N61" s="3" t="str">
        <f t="shared" si="2"/>
        <v>Tersedia</v>
      </c>
      <c r="O61" s="2" t="s">
        <v>44</v>
      </c>
    </row>
    <row r="62" spans="1:15" x14ac:dyDescent="0.35">
      <c r="A62" s="5" t="s">
        <v>219</v>
      </c>
      <c r="B62" s="5" t="s">
        <v>165</v>
      </c>
      <c r="C62" s="5" t="s">
        <v>17</v>
      </c>
      <c r="D62" s="5" t="s">
        <v>18</v>
      </c>
      <c r="E62" s="5" t="s">
        <v>34</v>
      </c>
      <c r="F62" s="6" t="s">
        <v>148</v>
      </c>
      <c r="G62" s="6" t="s">
        <v>207</v>
      </c>
      <c r="H62" s="7">
        <v>200</v>
      </c>
      <c r="I62" s="7">
        <v>156</v>
      </c>
      <c r="J62" s="7">
        <f t="shared" si="0"/>
        <v>44</v>
      </c>
      <c r="K62" s="7">
        <v>35000</v>
      </c>
      <c r="L62" s="7">
        <f t="shared" si="1"/>
        <v>1540000</v>
      </c>
      <c r="M62" s="5" t="s">
        <v>30</v>
      </c>
      <c r="N62" s="6" t="str">
        <f t="shared" si="2"/>
        <v>Tersedia</v>
      </c>
      <c r="O62" s="5" t="s">
        <v>44</v>
      </c>
    </row>
    <row r="63" spans="1:15" x14ac:dyDescent="0.35">
      <c r="A63" s="2" t="s">
        <v>164</v>
      </c>
      <c r="B63" s="2" t="s">
        <v>114</v>
      </c>
      <c r="C63" s="2" t="s">
        <v>17</v>
      </c>
      <c r="D63" s="2" t="s">
        <v>18</v>
      </c>
      <c r="E63" s="2" t="s">
        <v>34</v>
      </c>
      <c r="F63" s="3" t="s">
        <v>220</v>
      </c>
      <c r="G63" s="3" t="s">
        <v>140</v>
      </c>
      <c r="H63" s="4">
        <v>10</v>
      </c>
      <c r="I63" s="4">
        <v>3</v>
      </c>
      <c r="J63" s="4">
        <f t="shared" si="0"/>
        <v>7</v>
      </c>
      <c r="K63" s="4">
        <v>85000</v>
      </c>
      <c r="L63" s="4">
        <f t="shared" si="1"/>
        <v>595000</v>
      </c>
      <c r="M63" s="2" t="s">
        <v>30</v>
      </c>
      <c r="N63" s="3" t="str">
        <f t="shared" si="2"/>
        <v>Tersedia</v>
      </c>
      <c r="O63" s="2" t="s">
        <v>76</v>
      </c>
    </row>
    <row r="64" spans="1:15" x14ac:dyDescent="0.35">
      <c r="A64" s="5" t="s">
        <v>221</v>
      </c>
      <c r="B64" s="5" t="s">
        <v>80</v>
      </c>
      <c r="C64" s="5" t="s">
        <v>81</v>
      </c>
      <c r="D64" s="5" t="s">
        <v>82</v>
      </c>
      <c r="E64" s="5" t="s">
        <v>47</v>
      </c>
      <c r="F64" s="6" t="s">
        <v>222</v>
      </c>
      <c r="G64" s="6"/>
      <c r="H64" s="7">
        <v>20</v>
      </c>
      <c r="I64" s="7">
        <v>0</v>
      </c>
      <c r="J64" s="7">
        <f t="shared" si="0"/>
        <v>20</v>
      </c>
      <c r="K64" s="7">
        <v>280000</v>
      </c>
      <c r="L64" s="7">
        <f t="shared" si="1"/>
        <v>5600000</v>
      </c>
      <c r="M64" s="5" t="s">
        <v>85</v>
      </c>
      <c r="N64" s="6" t="str">
        <f t="shared" si="2"/>
        <v>Tersedia</v>
      </c>
      <c r="O64" s="5" t="s">
        <v>86</v>
      </c>
    </row>
    <row r="65" spans="1:15" x14ac:dyDescent="0.35">
      <c r="A65" s="2" t="s">
        <v>223</v>
      </c>
      <c r="B65" s="2" t="s">
        <v>100</v>
      </c>
      <c r="C65" s="2" t="s">
        <v>81</v>
      </c>
      <c r="D65" s="2" t="s">
        <v>82</v>
      </c>
      <c r="E65" s="2" t="s">
        <v>151</v>
      </c>
      <c r="F65" s="3" t="s">
        <v>224</v>
      </c>
      <c r="G65" s="3" t="s">
        <v>225</v>
      </c>
      <c r="H65" s="4">
        <v>200</v>
      </c>
      <c r="I65" s="4">
        <v>13</v>
      </c>
      <c r="J65" s="4">
        <f t="shared" si="0"/>
        <v>187</v>
      </c>
      <c r="K65" s="4">
        <v>220000</v>
      </c>
      <c r="L65" s="4">
        <f t="shared" si="1"/>
        <v>41140000</v>
      </c>
      <c r="M65" s="2" t="s">
        <v>35</v>
      </c>
      <c r="N65" s="3" t="str">
        <f t="shared" si="2"/>
        <v>Tersedia</v>
      </c>
      <c r="O65" s="2" t="s">
        <v>31</v>
      </c>
    </row>
    <row r="66" spans="1:15" x14ac:dyDescent="0.35">
      <c r="A66" s="5" t="s">
        <v>226</v>
      </c>
      <c r="B66" s="5" t="s">
        <v>206</v>
      </c>
      <c r="C66" s="5" t="s">
        <v>73</v>
      </c>
      <c r="D66" s="5" t="s">
        <v>74</v>
      </c>
      <c r="E66" s="5" t="s">
        <v>52</v>
      </c>
      <c r="F66" s="6" t="s">
        <v>227</v>
      </c>
      <c r="G66" s="6"/>
      <c r="H66" s="7">
        <v>10</v>
      </c>
      <c r="I66" s="7">
        <v>0</v>
      </c>
      <c r="J66" s="7">
        <f t="shared" si="0"/>
        <v>10</v>
      </c>
      <c r="K66" s="7">
        <v>45000</v>
      </c>
      <c r="L66" s="7">
        <f t="shared" si="1"/>
        <v>450000</v>
      </c>
      <c r="M66" s="5" t="s">
        <v>43</v>
      </c>
      <c r="N66" s="6" t="str">
        <f t="shared" si="2"/>
        <v>Tersedia</v>
      </c>
      <c r="O66" s="5" t="s">
        <v>59</v>
      </c>
    </row>
    <row r="67" spans="1:15" x14ac:dyDescent="0.35">
      <c r="A67" s="2" t="s">
        <v>228</v>
      </c>
      <c r="B67" s="2" t="s">
        <v>25</v>
      </c>
      <c r="C67" s="2" t="s">
        <v>26</v>
      </c>
      <c r="D67" s="2" t="s">
        <v>27</v>
      </c>
      <c r="E67" s="2" t="s">
        <v>68</v>
      </c>
      <c r="F67" s="3" t="s">
        <v>229</v>
      </c>
      <c r="G67" s="3" t="s">
        <v>148</v>
      </c>
      <c r="H67" s="4">
        <v>200</v>
      </c>
      <c r="I67" s="4">
        <v>147</v>
      </c>
      <c r="J67" s="4">
        <f t="shared" si="0"/>
        <v>53</v>
      </c>
      <c r="K67" s="4">
        <v>45000</v>
      </c>
      <c r="L67" s="4">
        <f t="shared" si="1"/>
        <v>2385000</v>
      </c>
      <c r="M67" s="2" t="s">
        <v>30</v>
      </c>
      <c r="N67" s="3" t="str">
        <f t="shared" si="2"/>
        <v>Tersedia</v>
      </c>
      <c r="O67" s="2" t="s">
        <v>59</v>
      </c>
    </row>
    <row r="68" spans="1:15" x14ac:dyDescent="0.35">
      <c r="A68" s="5" t="s">
        <v>230</v>
      </c>
      <c r="B68" s="5" t="s">
        <v>61</v>
      </c>
      <c r="C68" s="5" t="s">
        <v>62</v>
      </c>
      <c r="D68" s="5" t="s">
        <v>63</v>
      </c>
      <c r="E68" s="5" t="s">
        <v>34</v>
      </c>
      <c r="F68" s="6" t="s">
        <v>231</v>
      </c>
      <c r="G68" s="6" t="s">
        <v>65</v>
      </c>
      <c r="H68" s="7">
        <v>10</v>
      </c>
      <c r="I68" s="7">
        <v>8</v>
      </c>
      <c r="J68" s="7">
        <f t="shared" si="0"/>
        <v>2</v>
      </c>
      <c r="K68" s="7">
        <v>350000</v>
      </c>
      <c r="L68" s="7">
        <f t="shared" si="1"/>
        <v>700000</v>
      </c>
      <c r="M68" s="5" t="s">
        <v>22</v>
      </c>
      <c r="N68" s="6" t="str">
        <f t="shared" si="2"/>
        <v>Menipis</v>
      </c>
      <c r="O68" s="5" t="s">
        <v>76</v>
      </c>
    </row>
    <row r="69" spans="1:15" x14ac:dyDescent="0.35">
      <c r="A69" s="2" t="s">
        <v>232</v>
      </c>
      <c r="B69" s="2" t="s">
        <v>165</v>
      </c>
      <c r="C69" s="2" t="s">
        <v>17</v>
      </c>
      <c r="D69" s="2" t="s">
        <v>18</v>
      </c>
      <c r="E69" s="2" t="s">
        <v>34</v>
      </c>
      <c r="F69" s="3" t="s">
        <v>202</v>
      </c>
      <c r="G69" s="3" t="s">
        <v>233</v>
      </c>
      <c r="H69" s="4">
        <v>20</v>
      </c>
      <c r="I69" s="4">
        <v>8</v>
      </c>
      <c r="J69" s="4">
        <f t="shared" ref="J69:J132" si="3">H69-I69</f>
        <v>12</v>
      </c>
      <c r="K69" s="4">
        <v>35000</v>
      </c>
      <c r="L69" s="4">
        <f t="shared" ref="L69:L132" si="4">J69*K69</f>
        <v>420000</v>
      </c>
      <c r="M69" s="2" t="s">
        <v>85</v>
      </c>
      <c r="N69" s="3" t="str">
        <f t="shared" ref="N69:N132" si="5">IF(J69&lt;=0,"Habis",IF(J69&lt;=5,"Menipis","Tersedia"))</f>
        <v>Tersedia</v>
      </c>
      <c r="O69" s="2" t="s">
        <v>86</v>
      </c>
    </row>
    <row r="70" spans="1:15" x14ac:dyDescent="0.35">
      <c r="A70" s="5" t="s">
        <v>234</v>
      </c>
      <c r="B70" s="5" t="s">
        <v>150</v>
      </c>
      <c r="C70" s="5" t="s">
        <v>81</v>
      </c>
      <c r="D70" s="5" t="s">
        <v>82</v>
      </c>
      <c r="E70" s="5" t="s">
        <v>34</v>
      </c>
      <c r="F70" s="6" t="s">
        <v>235</v>
      </c>
      <c r="G70" s="6" t="s">
        <v>236</v>
      </c>
      <c r="H70" s="7">
        <v>150</v>
      </c>
      <c r="I70" s="7">
        <v>129</v>
      </c>
      <c r="J70" s="7">
        <f t="shared" si="3"/>
        <v>21</v>
      </c>
      <c r="K70" s="7">
        <v>85000</v>
      </c>
      <c r="L70" s="7">
        <f t="shared" si="4"/>
        <v>1785000</v>
      </c>
      <c r="M70" s="5" t="s">
        <v>85</v>
      </c>
      <c r="N70" s="6" t="str">
        <f t="shared" si="5"/>
        <v>Tersedia</v>
      </c>
      <c r="O70" s="5" t="s">
        <v>86</v>
      </c>
    </row>
    <row r="71" spans="1:15" x14ac:dyDescent="0.35">
      <c r="A71" s="2" t="s">
        <v>237</v>
      </c>
      <c r="B71" s="2" t="s">
        <v>127</v>
      </c>
      <c r="C71" s="2" t="s">
        <v>39</v>
      </c>
      <c r="D71" s="2" t="s">
        <v>40</v>
      </c>
      <c r="E71" s="2" t="s">
        <v>52</v>
      </c>
      <c r="F71" s="3" t="s">
        <v>163</v>
      </c>
      <c r="G71" s="3" t="s">
        <v>238</v>
      </c>
      <c r="H71" s="4">
        <v>2</v>
      </c>
      <c r="I71" s="4">
        <v>1</v>
      </c>
      <c r="J71" s="4">
        <f t="shared" si="3"/>
        <v>1</v>
      </c>
      <c r="K71" s="4">
        <v>1550000</v>
      </c>
      <c r="L71" s="4">
        <f t="shared" si="4"/>
        <v>1550000</v>
      </c>
      <c r="M71" s="2" t="s">
        <v>22</v>
      </c>
      <c r="N71" s="3" t="str">
        <f t="shared" si="5"/>
        <v>Menipis</v>
      </c>
      <c r="O71" s="2" t="s">
        <v>44</v>
      </c>
    </row>
    <row r="72" spans="1:15" x14ac:dyDescent="0.35">
      <c r="A72" s="5" t="s">
        <v>239</v>
      </c>
      <c r="B72" s="5" t="s">
        <v>16</v>
      </c>
      <c r="C72" s="5" t="s">
        <v>17</v>
      </c>
      <c r="D72" s="5" t="s">
        <v>18</v>
      </c>
      <c r="E72" s="5" t="s">
        <v>52</v>
      </c>
      <c r="F72" s="6" t="s">
        <v>240</v>
      </c>
      <c r="G72" s="6"/>
      <c r="H72" s="7">
        <v>20</v>
      </c>
      <c r="I72" s="7">
        <v>0</v>
      </c>
      <c r="J72" s="7">
        <f t="shared" si="3"/>
        <v>20</v>
      </c>
      <c r="K72" s="7">
        <v>45000</v>
      </c>
      <c r="L72" s="7">
        <f t="shared" si="4"/>
        <v>900000</v>
      </c>
      <c r="M72" s="5" t="s">
        <v>35</v>
      </c>
      <c r="N72" s="6" t="str">
        <f t="shared" si="5"/>
        <v>Tersedia</v>
      </c>
      <c r="O72" s="5" t="s">
        <v>36</v>
      </c>
    </row>
    <row r="73" spans="1:15" x14ac:dyDescent="0.35">
      <c r="A73" s="2" t="s">
        <v>241</v>
      </c>
      <c r="B73" s="2" t="s">
        <v>100</v>
      </c>
      <c r="C73" s="2" t="s">
        <v>81</v>
      </c>
      <c r="D73" s="2" t="s">
        <v>82</v>
      </c>
      <c r="E73" s="2" t="s">
        <v>68</v>
      </c>
      <c r="F73" s="3" t="s">
        <v>242</v>
      </c>
      <c r="G73" s="3" t="s">
        <v>212</v>
      </c>
      <c r="H73" s="4">
        <v>20</v>
      </c>
      <c r="I73" s="4">
        <v>15</v>
      </c>
      <c r="J73" s="4">
        <f t="shared" si="3"/>
        <v>5</v>
      </c>
      <c r="K73" s="4">
        <v>220000</v>
      </c>
      <c r="L73" s="4">
        <f t="shared" si="4"/>
        <v>1100000</v>
      </c>
      <c r="M73" s="2" t="s">
        <v>30</v>
      </c>
      <c r="N73" s="3" t="str">
        <f t="shared" si="5"/>
        <v>Menipis</v>
      </c>
      <c r="O73" s="2" t="s">
        <v>44</v>
      </c>
    </row>
    <row r="74" spans="1:15" x14ac:dyDescent="0.35">
      <c r="A74" s="5" t="s">
        <v>132</v>
      </c>
      <c r="B74" s="5" t="s">
        <v>144</v>
      </c>
      <c r="C74" s="5" t="s">
        <v>39</v>
      </c>
      <c r="D74" s="5" t="s">
        <v>40</v>
      </c>
      <c r="E74" s="5" t="s">
        <v>47</v>
      </c>
      <c r="F74" s="6" t="s">
        <v>218</v>
      </c>
      <c r="G74" s="6"/>
      <c r="H74" s="7">
        <v>2</v>
      </c>
      <c r="I74" s="7">
        <v>0</v>
      </c>
      <c r="J74" s="7">
        <f t="shared" si="3"/>
        <v>2</v>
      </c>
      <c r="K74" s="7">
        <v>2450000</v>
      </c>
      <c r="L74" s="7">
        <f t="shared" si="4"/>
        <v>4900000</v>
      </c>
      <c r="M74" s="5" t="s">
        <v>30</v>
      </c>
      <c r="N74" s="6" t="str">
        <f t="shared" si="5"/>
        <v>Menipis</v>
      </c>
      <c r="O74" s="5" t="s">
        <v>86</v>
      </c>
    </row>
    <row r="75" spans="1:15" x14ac:dyDescent="0.35">
      <c r="A75" s="2" t="s">
        <v>243</v>
      </c>
      <c r="B75" s="2" t="s">
        <v>72</v>
      </c>
      <c r="C75" s="2" t="s">
        <v>73</v>
      </c>
      <c r="D75" s="2" t="s">
        <v>74</v>
      </c>
      <c r="E75" s="2" t="s">
        <v>68</v>
      </c>
      <c r="F75" s="3" t="s">
        <v>244</v>
      </c>
      <c r="G75" s="3" t="s">
        <v>245</v>
      </c>
      <c r="H75" s="4">
        <v>50</v>
      </c>
      <c r="I75" s="4">
        <v>50</v>
      </c>
      <c r="J75" s="4">
        <f t="shared" si="3"/>
        <v>0</v>
      </c>
      <c r="K75" s="4">
        <v>240000</v>
      </c>
      <c r="L75" s="4">
        <f t="shared" si="4"/>
        <v>0</v>
      </c>
      <c r="M75" s="2" t="s">
        <v>35</v>
      </c>
      <c r="N75" s="3" t="str">
        <f t="shared" si="5"/>
        <v>Habis</v>
      </c>
      <c r="O75" s="2" t="s">
        <v>76</v>
      </c>
    </row>
    <row r="76" spans="1:15" x14ac:dyDescent="0.35">
      <c r="A76" s="5" t="s">
        <v>246</v>
      </c>
      <c r="B76" s="5" t="s">
        <v>206</v>
      </c>
      <c r="C76" s="5" t="s">
        <v>73</v>
      </c>
      <c r="D76" s="5" t="s">
        <v>74</v>
      </c>
      <c r="E76" s="5" t="s">
        <v>101</v>
      </c>
      <c r="F76" s="6" t="s">
        <v>247</v>
      </c>
      <c r="G76" s="6" t="s">
        <v>248</v>
      </c>
      <c r="H76" s="7">
        <v>100</v>
      </c>
      <c r="I76" s="7">
        <v>92</v>
      </c>
      <c r="J76" s="7">
        <f t="shared" si="3"/>
        <v>8</v>
      </c>
      <c r="K76" s="7">
        <v>45000</v>
      </c>
      <c r="L76" s="7">
        <f t="shared" si="4"/>
        <v>360000</v>
      </c>
      <c r="M76" s="5" t="s">
        <v>30</v>
      </c>
      <c r="N76" s="6" t="str">
        <f t="shared" si="5"/>
        <v>Tersedia</v>
      </c>
      <c r="O76" s="5" t="s">
        <v>36</v>
      </c>
    </row>
    <row r="77" spans="1:15" x14ac:dyDescent="0.35">
      <c r="A77" s="2" t="s">
        <v>249</v>
      </c>
      <c r="B77" s="2" t="s">
        <v>117</v>
      </c>
      <c r="C77" s="2" t="s">
        <v>81</v>
      </c>
      <c r="D77" s="2" t="s">
        <v>82</v>
      </c>
      <c r="E77" s="2" t="s">
        <v>47</v>
      </c>
      <c r="F77" s="3" t="s">
        <v>189</v>
      </c>
      <c r="G77" s="3" t="s">
        <v>146</v>
      </c>
      <c r="H77" s="4">
        <v>20</v>
      </c>
      <c r="I77" s="4">
        <v>11</v>
      </c>
      <c r="J77" s="4">
        <f t="shared" si="3"/>
        <v>9</v>
      </c>
      <c r="K77" s="4">
        <v>310000</v>
      </c>
      <c r="L77" s="4">
        <f t="shared" si="4"/>
        <v>2790000</v>
      </c>
      <c r="M77" s="2" t="s">
        <v>22</v>
      </c>
      <c r="N77" s="3" t="str">
        <f t="shared" si="5"/>
        <v>Tersedia</v>
      </c>
      <c r="O77" s="2" t="s">
        <v>59</v>
      </c>
    </row>
    <row r="78" spans="1:15" x14ac:dyDescent="0.35">
      <c r="A78" s="5" t="s">
        <v>250</v>
      </c>
      <c r="B78" s="5" t="s">
        <v>25</v>
      </c>
      <c r="C78" s="5" t="s">
        <v>26</v>
      </c>
      <c r="D78" s="5" t="s">
        <v>27</v>
      </c>
      <c r="E78" s="5" t="s">
        <v>96</v>
      </c>
      <c r="F78" s="6" t="s">
        <v>251</v>
      </c>
      <c r="G78" s="6" t="s">
        <v>252</v>
      </c>
      <c r="H78" s="7">
        <v>20</v>
      </c>
      <c r="I78" s="7">
        <v>12</v>
      </c>
      <c r="J78" s="7">
        <f t="shared" si="3"/>
        <v>8</v>
      </c>
      <c r="K78" s="7">
        <v>45000</v>
      </c>
      <c r="L78" s="7">
        <f t="shared" si="4"/>
        <v>360000</v>
      </c>
      <c r="M78" s="5" t="s">
        <v>30</v>
      </c>
      <c r="N78" s="6" t="str">
        <f t="shared" si="5"/>
        <v>Tersedia</v>
      </c>
      <c r="O78" s="5" t="s">
        <v>36</v>
      </c>
    </row>
    <row r="79" spans="1:15" x14ac:dyDescent="0.35">
      <c r="A79" s="2" t="s">
        <v>253</v>
      </c>
      <c r="B79" s="2" t="s">
        <v>61</v>
      </c>
      <c r="C79" s="2" t="s">
        <v>62</v>
      </c>
      <c r="D79" s="2" t="s">
        <v>63</v>
      </c>
      <c r="E79" s="2" t="s">
        <v>64</v>
      </c>
      <c r="F79" s="3" t="s">
        <v>254</v>
      </c>
      <c r="G79" s="3" t="s">
        <v>255</v>
      </c>
      <c r="H79" s="4">
        <v>150</v>
      </c>
      <c r="I79" s="4">
        <v>66</v>
      </c>
      <c r="J79" s="4">
        <f t="shared" si="3"/>
        <v>84</v>
      </c>
      <c r="K79" s="4">
        <v>350000</v>
      </c>
      <c r="L79" s="4">
        <f t="shared" si="4"/>
        <v>29400000</v>
      </c>
      <c r="M79" s="2" t="s">
        <v>43</v>
      </c>
      <c r="N79" s="3" t="str">
        <f t="shared" si="5"/>
        <v>Tersedia</v>
      </c>
      <c r="O79" s="2" t="s">
        <v>59</v>
      </c>
    </row>
    <row r="80" spans="1:15" x14ac:dyDescent="0.35">
      <c r="A80" s="5" t="s">
        <v>256</v>
      </c>
      <c r="B80" s="5" t="s">
        <v>138</v>
      </c>
      <c r="C80" s="5" t="s">
        <v>62</v>
      </c>
      <c r="D80" s="5" t="s">
        <v>63</v>
      </c>
      <c r="E80" s="5" t="s">
        <v>56</v>
      </c>
      <c r="F80" s="6" t="s">
        <v>257</v>
      </c>
      <c r="G80" s="6" t="s">
        <v>136</v>
      </c>
      <c r="H80" s="7">
        <v>100</v>
      </c>
      <c r="I80" s="7">
        <v>91</v>
      </c>
      <c r="J80" s="7">
        <f t="shared" si="3"/>
        <v>9</v>
      </c>
      <c r="K80" s="7">
        <v>450000</v>
      </c>
      <c r="L80" s="7">
        <f t="shared" si="4"/>
        <v>4050000</v>
      </c>
      <c r="M80" s="5" t="s">
        <v>22</v>
      </c>
      <c r="N80" s="6" t="str">
        <f t="shared" si="5"/>
        <v>Tersedia</v>
      </c>
      <c r="O80" s="5" t="s">
        <v>44</v>
      </c>
    </row>
    <row r="81" spans="1:15" x14ac:dyDescent="0.35">
      <c r="A81" s="2" t="s">
        <v>258</v>
      </c>
      <c r="B81" s="2" t="s">
        <v>217</v>
      </c>
      <c r="C81" s="2" t="s">
        <v>26</v>
      </c>
      <c r="D81" s="2" t="s">
        <v>27</v>
      </c>
      <c r="E81" s="2" t="s">
        <v>64</v>
      </c>
      <c r="F81" s="3" t="s">
        <v>142</v>
      </c>
      <c r="G81" s="3" t="s">
        <v>259</v>
      </c>
      <c r="H81" s="4">
        <v>20</v>
      </c>
      <c r="I81" s="4">
        <v>12</v>
      </c>
      <c r="J81" s="4">
        <f t="shared" si="3"/>
        <v>8</v>
      </c>
      <c r="K81" s="4">
        <v>55000</v>
      </c>
      <c r="L81" s="4">
        <f t="shared" si="4"/>
        <v>440000</v>
      </c>
      <c r="M81" s="2" t="s">
        <v>43</v>
      </c>
      <c r="N81" s="3" t="str">
        <f t="shared" si="5"/>
        <v>Tersedia</v>
      </c>
      <c r="O81" s="2" t="s">
        <v>36</v>
      </c>
    </row>
    <row r="82" spans="1:15" x14ac:dyDescent="0.35">
      <c r="A82" s="5" t="s">
        <v>260</v>
      </c>
      <c r="B82" s="5" t="s">
        <v>72</v>
      </c>
      <c r="C82" s="5" t="s">
        <v>73</v>
      </c>
      <c r="D82" s="5" t="s">
        <v>74</v>
      </c>
      <c r="E82" s="5" t="s">
        <v>64</v>
      </c>
      <c r="F82" s="6" t="s">
        <v>136</v>
      </c>
      <c r="G82" s="6"/>
      <c r="H82" s="7">
        <v>20</v>
      </c>
      <c r="I82" s="7">
        <v>0</v>
      </c>
      <c r="J82" s="7">
        <f t="shared" si="3"/>
        <v>20</v>
      </c>
      <c r="K82" s="7">
        <v>240000</v>
      </c>
      <c r="L82" s="7">
        <f t="shared" si="4"/>
        <v>4800000</v>
      </c>
      <c r="M82" s="5" t="s">
        <v>85</v>
      </c>
      <c r="N82" s="6" t="str">
        <f t="shared" si="5"/>
        <v>Tersedia</v>
      </c>
      <c r="O82" s="5" t="s">
        <v>23</v>
      </c>
    </row>
    <row r="83" spans="1:15" x14ac:dyDescent="0.35">
      <c r="A83" s="2" t="s">
        <v>261</v>
      </c>
      <c r="B83" s="2" t="s">
        <v>150</v>
      </c>
      <c r="C83" s="2" t="s">
        <v>81</v>
      </c>
      <c r="D83" s="2" t="s">
        <v>82</v>
      </c>
      <c r="E83" s="2" t="s">
        <v>96</v>
      </c>
      <c r="F83" s="3" t="s">
        <v>75</v>
      </c>
      <c r="G83" s="3" t="s">
        <v>262</v>
      </c>
      <c r="H83" s="4">
        <v>50</v>
      </c>
      <c r="I83" s="4">
        <v>38</v>
      </c>
      <c r="J83" s="4">
        <f t="shared" si="3"/>
        <v>12</v>
      </c>
      <c r="K83" s="4">
        <v>85000</v>
      </c>
      <c r="L83" s="4">
        <f t="shared" si="4"/>
        <v>1020000</v>
      </c>
      <c r="M83" s="2" t="s">
        <v>85</v>
      </c>
      <c r="N83" s="3" t="str">
        <f t="shared" si="5"/>
        <v>Tersedia</v>
      </c>
      <c r="O83" s="2" t="s">
        <v>44</v>
      </c>
    </row>
    <row r="84" spans="1:15" x14ac:dyDescent="0.35">
      <c r="A84" s="5" t="s">
        <v>249</v>
      </c>
      <c r="B84" s="5" t="s">
        <v>72</v>
      </c>
      <c r="C84" s="5" t="s">
        <v>73</v>
      </c>
      <c r="D84" s="5" t="s">
        <v>74</v>
      </c>
      <c r="E84" s="5" t="s">
        <v>64</v>
      </c>
      <c r="F84" s="6" t="s">
        <v>115</v>
      </c>
      <c r="G84" s="6"/>
      <c r="H84" s="7">
        <v>150</v>
      </c>
      <c r="I84" s="7">
        <v>0</v>
      </c>
      <c r="J84" s="7">
        <f t="shared" si="3"/>
        <v>150</v>
      </c>
      <c r="K84" s="7">
        <v>240000</v>
      </c>
      <c r="L84" s="7">
        <f t="shared" si="4"/>
        <v>36000000</v>
      </c>
      <c r="M84" s="5" t="s">
        <v>43</v>
      </c>
      <c r="N84" s="6" t="str">
        <f t="shared" si="5"/>
        <v>Tersedia</v>
      </c>
      <c r="O84" s="5" t="s">
        <v>36</v>
      </c>
    </row>
    <row r="85" spans="1:15" x14ac:dyDescent="0.35">
      <c r="A85" s="2" t="s">
        <v>263</v>
      </c>
      <c r="B85" s="2" t="s">
        <v>16</v>
      </c>
      <c r="C85" s="2" t="s">
        <v>17</v>
      </c>
      <c r="D85" s="2" t="s">
        <v>18</v>
      </c>
      <c r="E85" s="2" t="s">
        <v>151</v>
      </c>
      <c r="F85" s="3" t="s">
        <v>264</v>
      </c>
      <c r="G85" s="3" t="s">
        <v>265</v>
      </c>
      <c r="H85" s="4">
        <v>20</v>
      </c>
      <c r="I85" s="4">
        <v>11</v>
      </c>
      <c r="J85" s="4">
        <f t="shared" si="3"/>
        <v>9</v>
      </c>
      <c r="K85" s="4">
        <v>45000</v>
      </c>
      <c r="L85" s="4">
        <f t="shared" si="4"/>
        <v>405000</v>
      </c>
      <c r="M85" s="2" t="s">
        <v>30</v>
      </c>
      <c r="N85" s="3" t="str">
        <f t="shared" si="5"/>
        <v>Tersedia</v>
      </c>
      <c r="O85" s="2" t="s">
        <v>59</v>
      </c>
    </row>
    <row r="86" spans="1:15" x14ac:dyDescent="0.35">
      <c r="A86" s="5" t="s">
        <v>266</v>
      </c>
      <c r="B86" s="5" t="s">
        <v>55</v>
      </c>
      <c r="C86" s="5" t="s">
        <v>39</v>
      </c>
      <c r="D86" s="5" t="s">
        <v>40</v>
      </c>
      <c r="E86" s="5" t="s">
        <v>52</v>
      </c>
      <c r="F86" s="6" t="s">
        <v>267</v>
      </c>
      <c r="G86" s="6"/>
      <c r="H86" s="7">
        <v>10</v>
      </c>
      <c r="I86" s="7">
        <v>0</v>
      </c>
      <c r="J86" s="7">
        <f t="shared" si="3"/>
        <v>10</v>
      </c>
      <c r="K86" s="7">
        <v>1850000</v>
      </c>
      <c r="L86" s="7">
        <f t="shared" si="4"/>
        <v>18500000</v>
      </c>
      <c r="M86" s="5" t="s">
        <v>85</v>
      </c>
      <c r="N86" s="6" t="str">
        <f t="shared" si="5"/>
        <v>Tersedia</v>
      </c>
      <c r="O86" s="5" t="s">
        <v>31</v>
      </c>
    </row>
    <row r="87" spans="1:15" x14ac:dyDescent="0.35">
      <c r="A87" s="2" t="s">
        <v>268</v>
      </c>
      <c r="B87" s="2" t="s">
        <v>61</v>
      </c>
      <c r="C87" s="2" t="s">
        <v>62</v>
      </c>
      <c r="D87" s="2" t="s">
        <v>63</v>
      </c>
      <c r="E87" s="2" t="s">
        <v>56</v>
      </c>
      <c r="F87" s="3" t="s">
        <v>269</v>
      </c>
      <c r="G87" s="3"/>
      <c r="H87" s="4">
        <v>10</v>
      </c>
      <c r="I87" s="4">
        <v>0</v>
      </c>
      <c r="J87" s="4">
        <f t="shared" si="3"/>
        <v>10</v>
      </c>
      <c r="K87" s="4">
        <v>350000</v>
      </c>
      <c r="L87" s="4">
        <f t="shared" si="4"/>
        <v>3500000</v>
      </c>
      <c r="M87" s="2" t="s">
        <v>85</v>
      </c>
      <c r="N87" s="3" t="str">
        <f t="shared" si="5"/>
        <v>Tersedia</v>
      </c>
      <c r="O87" s="2" t="s">
        <v>36</v>
      </c>
    </row>
    <row r="88" spans="1:15" x14ac:dyDescent="0.35">
      <c r="A88" s="5" t="s">
        <v>270</v>
      </c>
      <c r="B88" s="5" t="s">
        <v>217</v>
      </c>
      <c r="C88" s="5" t="s">
        <v>26</v>
      </c>
      <c r="D88" s="5" t="s">
        <v>27</v>
      </c>
      <c r="E88" s="5" t="s">
        <v>19</v>
      </c>
      <c r="F88" s="6" t="s">
        <v>251</v>
      </c>
      <c r="G88" s="6" t="s">
        <v>156</v>
      </c>
      <c r="H88" s="7">
        <v>10</v>
      </c>
      <c r="I88" s="7">
        <v>5</v>
      </c>
      <c r="J88" s="7">
        <f t="shared" si="3"/>
        <v>5</v>
      </c>
      <c r="K88" s="7">
        <v>55000</v>
      </c>
      <c r="L88" s="7">
        <f t="shared" si="4"/>
        <v>275000</v>
      </c>
      <c r="M88" s="5" t="s">
        <v>30</v>
      </c>
      <c r="N88" s="6" t="str">
        <f t="shared" si="5"/>
        <v>Menipis</v>
      </c>
      <c r="O88" s="5" t="s">
        <v>76</v>
      </c>
    </row>
    <row r="89" spans="1:15" x14ac:dyDescent="0.35">
      <c r="A89" s="2" t="s">
        <v>91</v>
      </c>
      <c r="B89" s="2" t="s">
        <v>25</v>
      </c>
      <c r="C89" s="2" t="s">
        <v>26</v>
      </c>
      <c r="D89" s="2" t="s">
        <v>27</v>
      </c>
      <c r="E89" s="2" t="s">
        <v>68</v>
      </c>
      <c r="F89" s="3" t="s">
        <v>211</v>
      </c>
      <c r="G89" s="3" t="s">
        <v>271</v>
      </c>
      <c r="H89" s="4">
        <v>100</v>
      </c>
      <c r="I89" s="4">
        <v>68</v>
      </c>
      <c r="J89" s="4">
        <f t="shared" si="3"/>
        <v>32</v>
      </c>
      <c r="K89" s="4">
        <v>45000</v>
      </c>
      <c r="L89" s="4">
        <f t="shared" si="4"/>
        <v>1440000</v>
      </c>
      <c r="M89" s="2" t="s">
        <v>30</v>
      </c>
      <c r="N89" s="3" t="str">
        <f t="shared" si="5"/>
        <v>Tersedia</v>
      </c>
      <c r="O89" s="2" t="s">
        <v>23</v>
      </c>
    </row>
    <row r="90" spans="1:15" x14ac:dyDescent="0.35">
      <c r="A90" s="5" t="s">
        <v>272</v>
      </c>
      <c r="B90" s="5" t="s">
        <v>51</v>
      </c>
      <c r="C90" s="5" t="s">
        <v>17</v>
      </c>
      <c r="D90" s="5" t="s">
        <v>18</v>
      </c>
      <c r="E90" s="5" t="s">
        <v>96</v>
      </c>
      <c r="F90" s="6" t="s">
        <v>273</v>
      </c>
      <c r="G90" s="6" t="s">
        <v>274</v>
      </c>
      <c r="H90" s="7">
        <v>20</v>
      </c>
      <c r="I90" s="7">
        <v>11</v>
      </c>
      <c r="J90" s="7">
        <f t="shared" si="3"/>
        <v>9</v>
      </c>
      <c r="K90" s="7">
        <v>150000</v>
      </c>
      <c r="L90" s="7">
        <f t="shared" si="4"/>
        <v>1350000</v>
      </c>
      <c r="M90" s="5" t="s">
        <v>35</v>
      </c>
      <c r="N90" s="6" t="str">
        <f t="shared" si="5"/>
        <v>Tersedia</v>
      </c>
      <c r="O90" s="5" t="s">
        <v>31</v>
      </c>
    </row>
    <row r="91" spans="1:15" x14ac:dyDescent="0.35">
      <c r="A91" s="2" t="s">
        <v>275</v>
      </c>
      <c r="B91" s="2" t="s">
        <v>108</v>
      </c>
      <c r="C91" s="2" t="s">
        <v>62</v>
      </c>
      <c r="D91" s="2" t="s">
        <v>63</v>
      </c>
      <c r="E91" s="2" t="s">
        <v>101</v>
      </c>
      <c r="F91" s="3" t="s">
        <v>276</v>
      </c>
      <c r="G91" s="3" t="s">
        <v>248</v>
      </c>
      <c r="H91" s="4">
        <v>50</v>
      </c>
      <c r="I91" s="4">
        <v>21</v>
      </c>
      <c r="J91" s="4">
        <f t="shared" si="3"/>
        <v>29</v>
      </c>
      <c r="K91" s="4">
        <v>650000</v>
      </c>
      <c r="L91" s="4">
        <f t="shared" si="4"/>
        <v>18850000</v>
      </c>
      <c r="M91" s="2" t="s">
        <v>85</v>
      </c>
      <c r="N91" s="3" t="str">
        <f t="shared" si="5"/>
        <v>Tersedia</v>
      </c>
      <c r="O91" s="2" t="s">
        <v>31</v>
      </c>
    </row>
    <row r="92" spans="1:15" x14ac:dyDescent="0.35">
      <c r="A92" s="5" t="s">
        <v>277</v>
      </c>
      <c r="B92" s="5" t="s">
        <v>117</v>
      </c>
      <c r="C92" s="5" t="s">
        <v>81</v>
      </c>
      <c r="D92" s="5" t="s">
        <v>82</v>
      </c>
      <c r="E92" s="5" t="s">
        <v>101</v>
      </c>
      <c r="F92" s="6" t="s">
        <v>207</v>
      </c>
      <c r="G92" s="6"/>
      <c r="H92" s="7">
        <v>150</v>
      </c>
      <c r="I92" s="7">
        <v>0</v>
      </c>
      <c r="J92" s="7">
        <f t="shared" si="3"/>
        <v>150</v>
      </c>
      <c r="K92" s="7">
        <v>310000</v>
      </c>
      <c r="L92" s="7">
        <f t="shared" si="4"/>
        <v>46500000</v>
      </c>
      <c r="M92" s="5" t="s">
        <v>22</v>
      </c>
      <c r="N92" s="6" t="str">
        <f t="shared" si="5"/>
        <v>Tersedia</v>
      </c>
      <c r="O92" s="5" t="s">
        <v>59</v>
      </c>
    </row>
    <row r="93" spans="1:15" x14ac:dyDescent="0.35">
      <c r="A93" s="2" t="s">
        <v>278</v>
      </c>
      <c r="B93" s="2" t="s">
        <v>61</v>
      </c>
      <c r="C93" s="2" t="s">
        <v>62</v>
      </c>
      <c r="D93" s="2" t="s">
        <v>63</v>
      </c>
      <c r="E93" s="2" t="s">
        <v>47</v>
      </c>
      <c r="F93" s="3" t="s">
        <v>279</v>
      </c>
      <c r="G93" s="3" t="s">
        <v>280</v>
      </c>
      <c r="H93" s="4">
        <v>50</v>
      </c>
      <c r="I93" s="4">
        <v>44</v>
      </c>
      <c r="J93" s="4">
        <f t="shared" si="3"/>
        <v>6</v>
      </c>
      <c r="K93" s="4">
        <v>350000</v>
      </c>
      <c r="L93" s="4">
        <f t="shared" si="4"/>
        <v>2100000</v>
      </c>
      <c r="M93" s="2" t="s">
        <v>35</v>
      </c>
      <c r="N93" s="3" t="str">
        <f t="shared" si="5"/>
        <v>Tersedia</v>
      </c>
      <c r="O93" s="2" t="s">
        <v>36</v>
      </c>
    </row>
    <row r="94" spans="1:15" x14ac:dyDescent="0.35">
      <c r="A94" s="5" t="s">
        <v>281</v>
      </c>
      <c r="B94" s="5" t="s">
        <v>72</v>
      </c>
      <c r="C94" s="5" t="s">
        <v>73</v>
      </c>
      <c r="D94" s="5" t="s">
        <v>74</v>
      </c>
      <c r="E94" s="5" t="s">
        <v>151</v>
      </c>
      <c r="F94" s="6" t="s">
        <v>148</v>
      </c>
      <c r="G94" s="6"/>
      <c r="H94" s="7">
        <v>150</v>
      </c>
      <c r="I94" s="7">
        <v>0</v>
      </c>
      <c r="J94" s="7">
        <f t="shared" si="3"/>
        <v>150</v>
      </c>
      <c r="K94" s="7">
        <v>240000</v>
      </c>
      <c r="L94" s="7">
        <f t="shared" si="4"/>
        <v>36000000</v>
      </c>
      <c r="M94" s="5" t="s">
        <v>85</v>
      </c>
      <c r="N94" s="6" t="str">
        <f t="shared" si="5"/>
        <v>Tersedia</v>
      </c>
      <c r="O94" s="5" t="s">
        <v>70</v>
      </c>
    </row>
    <row r="95" spans="1:15" x14ac:dyDescent="0.35">
      <c r="A95" s="2" t="s">
        <v>282</v>
      </c>
      <c r="B95" s="2" t="s">
        <v>51</v>
      </c>
      <c r="C95" s="2" t="s">
        <v>17</v>
      </c>
      <c r="D95" s="2" t="s">
        <v>18</v>
      </c>
      <c r="E95" s="2" t="s">
        <v>19</v>
      </c>
      <c r="F95" s="3" t="s">
        <v>283</v>
      </c>
      <c r="G95" s="3"/>
      <c r="H95" s="4">
        <v>10</v>
      </c>
      <c r="I95" s="4">
        <v>0</v>
      </c>
      <c r="J95" s="4">
        <f t="shared" si="3"/>
        <v>10</v>
      </c>
      <c r="K95" s="4">
        <v>150000</v>
      </c>
      <c r="L95" s="4">
        <f t="shared" si="4"/>
        <v>1500000</v>
      </c>
      <c r="M95" s="2" t="s">
        <v>35</v>
      </c>
      <c r="N95" s="3" t="str">
        <f t="shared" si="5"/>
        <v>Tersedia</v>
      </c>
      <c r="O95" s="2" t="s">
        <v>31</v>
      </c>
    </row>
    <row r="96" spans="1:15" x14ac:dyDescent="0.35">
      <c r="A96" s="5" t="s">
        <v>284</v>
      </c>
      <c r="B96" s="5" t="s">
        <v>144</v>
      </c>
      <c r="C96" s="5" t="s">
        <v>39</v>
      </c>
      <c r="D96" s="5" t="s">
        <v>40</v>
      </c>
      <c r="E96" s="5" t="s">
        <v>56</v>
      </c>
      <c r="F96" s="6" t="s">
        <v>285</v>
      </c>
      <c r="G96" s="6" t="s">
        <v>286</v>
      </c>
      <c r="H96" s="7">
        <v>2</v>
      </c>
      <c r="I96" s="7">
        <v>2</v>
      </c>
      <c r="J96" s="7">
        <f t="shared" si="3"/>
        <v>0</v>
      </c>
      <c r="K96" s="7">
        <v>2450000</v>
      </c>
      <c r="L96" s="7">
        <f t="shared" si="4"/>
        <v>0</v>
      </c>
      <c r="M96" s="5" t="s">
        <v>43</v>
      </c>
      <c r="N96" s="6" t="str">
        <f t="shared" si="5"/>
        <v>Habis</v>
      </c>
      <c r="O96" s="5" t="s">
        <v>44</v>
      </c>
    </row>
    <row r="97" spans="1:15" x14ac:dyDescent="0.35">
      <c r="A97" s="2" t="s">
        <v>281</v>
      </c>
      <c r="B97" s="2" t="s">
        <v>206</v>
      </c>
      <c r="C97" s="2" t="s">
        <v>73</v>
      </c>
      <c r="D97" s="2" t="s">
        <v>74</v>
      </c>
      <c r="E97" s="2" t="s">
        <v>68</v>
      </c>
      <c r="F97" s="3" t="s">
        <v>287</v>
      </c>
      <c r="G97" s="3" t="s">
        <v>125</v>
      </c>
      <c r="H97" s="4">
        <v>150</v>
      </c>
      <c r="I97" s="4">
        <v>96</v>
      </c>
      <c r="J97" s="4">
        <f t="shared" si="3"/>
        <v>54</v>
      </c>
      <c r="K97" s="4">
        <v>45000</v>
      </c>
      <c r="L97" s="4">
        <f t="shared" si="4"/>
        <v>2430000</v>
      </c>
      <c r="M97" s="2" t="s">
        <v>35</v>
      </c>
      <c r="N97" s="3" t="str">
        <f t="shared" si="5"/>
        <v>Tersedia</v>
      </c>
      <c r="O97" s="2" t="s">
        <v>36</v>
      </c>
    </row>
    <row r="98" spans="1:15" x14ac:dyDescent="0.35">
      <c r="A98" s="5" t="s">
        <v>288</v>
      </c>
      <c r="B98" s="5" t="s">
        <v>117</v>
      </c>
      <c r="C98" s="5" t="s">
        <v>81</v>
      </c>
      <c r="D98" s="5" t="s">
        <v>82</v>
      </c>
      <c r="E98" s="5" t="s">
        <v>68</v>
      </c>
      <c r="F98" s="6" t="s">
        <v>163</v>
      </c>
      <c r="G98" s="6" t="s">
        <v>289</v>
      </c>
      <c r="H98" s="7">
        <v>50</v>
      </c>
      <c r="I98" s="7">
        <v>38</v>
      </c>
      <c r="J98" s="7">
        <f t="shared" si="3"/>
        <v>12</v>
      </c>
      <c r="K98" s="7">
        <v>310000</v>
      </c>
      <c r="L98" s="7">
        <f t="shared" si="4"/>
        <v>3720000</v>
      </c>
      <c r="M98" s="5" t="s">
        <v>30</v>
      </c>
      <c r="N98" s="6" t="str">
        <f t="shared" si="5"/>
        <v>Tersedia</v>
      </c>
      <c r="O98" s="5" t="s">
        <v>76</v>
      </c>
    </row>
    <row r="99" spans="1:15" x14ac:dyDescent="0.35">
      <c r="A99" s="2" t="s">
        <v>290</v>
      </c>
      <c r="B99" s="2" t="s">
        <v>80</v>
      </c>
      <c r="C99" s="2" t="s">
        <v>81</v>
      </c>
      <c r="D99" s="2" t="s">
        <v>82</v>
      </c>
      <c r="E99" s="2" t="s">
        <v>34</v>
      </c>
      <c r="F99" s="3" t="s">
        <v>291</v>
      </c>
      <c r="G99" s="3" t="s">
        <v>292</v>
      </c>
      <c r="H99" s="4">
        <v>10</v>
      </c>
      <c r="I99" s="4">
        <v>2</v>
      </c>
      <c r="J99" s="4">
        <f t="shared" si="3"/>
        <v>8</v>
      </c>
      <c r="K99" s="4">
        <v>280000</v>
      </c>
      <c r="L99" s="4">
        <f t="shared" si="4"/>
        <v>2240000</v>
      </c>
      <c r="M99" s="2" t="s">
        <v>35</v>
      </c>
      <c r="N99" s="3" t="str">
        <f t="shared" si="5"/>
        <v>Tersedia</v>
      </c>
      <c r="O99" s="2" t="s">
        <v>36</v>
      </c>
    </row>
    <row r="100" spans="1:15" x14ac:dyDescent="0.35">
      <c r="A100" s="5" t="s">
        <v>270</v>
      </c>
      <c r="B100" s="5" t="s">
        <v>127</v>
      </c>
      <c r="C100" s="5" t="s">
        <v>39</v>
      </c>
      <c r="D100" s="5" t="s">
        <v>40</v>
      </c>
      <c r="E100" s="5" t="s">
        <v>52</v>
      </c>
      <c r="F100" s="6" t="s">
        <v>293</v>
      </c>
      <c r="G100" s="6" t="s">
        <v>294</v>
      </c>
      <c r="H100" s="7">
        <v>5</v>
      </c>
      <c r="I100" s="7">
        <v>3</v>
      </c>
      <c r="J100" s="7">
        <f t="shared" si="3"/>
        <v>2</v>
      </c>
      <c r="K100" s="7">
        <v>1550000</v>
      </c>
      <c r="L100" s="7">
        <f t="shared" si="4"/>
        <v>3100000</v>
      </c>
      <c r="M100" s="5" t="s">
        <v>30</v>
      </c>
      <c r="N100" s="6" t="str">
        <f t="shared" si="5"/>
        <v>Menipis</v>
      </c>
      <c r="O100" s="5" t="s">
        <v>70</v>
      </c>
    </row>
    <row r="101" spans="1:15" x14ac:dyDescent="0.35">
      <c r="A101" s="2" t="s">
        <v>295</v>
      </c>
      <c r="B101" s="2" t="s">
        <v>33</v>
      </c>
      <c r="C101" s="2" t="s">
        <v>26</v>
      </c>
      <c r="D101" s="2" t="s">
        <v>27</v>
      </c>
      <c r="E101" s="2" t="s">
        <v>56</v>
      </c>
      <c r="F101" s="3" t="s">
        <v>296</v>
      </c>
      <c r="G101" s="3" t="s">
        <v>297</v>
      </c>
      <c r="H101" s="4">
        <v>50</v>
      </c>
      <c r="I101" s="4">
        <v>13</v>
      </c>
      <c r="J101" s="4">
        <f t="shared" si="3"/>
        <v>37</v>
      </c>
      <c r="K101" s="4">
        <v>12000</v>
      </c>
      <c r="L101" s="4">
        <f t="shared" si="4"/>
        <v>444000</v>
      </c>
      <c r="M101" s="2" t="s">
        <v>35</v>
      </c>
      <c r="N101" s="3" t="str">
        <f t="shared" si="5"/>
        <v>Tersedia</v>
      </c>
      <c r="O101" s="2" t="s">
        <v>70</v>
      </c>
    </row>
    <row r="102" spans="1:15" x14ac:dyDescent="0.35">
      <c r="A102" s="5" t="s">
        <v>298</v>
      </c>
      <c r="B102" s="5" t="s">
        <v>138</v>
      </c>
      <c r="C102" s="5" t="s">
        <v>62</v>
      </c>
      <c r="D102" s="5" t="s">
        <v>63</v>
      </c>
      <c r="E102" s="5" t="s">
        <v>19</v>
      </c>
      <c r="F102" s="6" t="s">
        <v>299</v>
      </c>
      <c r="G102" s="6" t="s">
        <v>300</v>
      </c>
      <c r="H102" s="7">
        <v>50</v>
      </c>
      <c r="I102" s="7">
        <v>34</v>
      </c>
      <c r="J102" s="7">
        <f t="shared" si="3"/>
        <v>16</v>
      </c>
      <c r="K102" s="7">
        <v>450000</v>
      </c>
      <c r="L102" s="7">
        <f t="shared" si="4"/>
        <v>7200000</v>
      </c>
      <c r="M102" s="5" t="s">
        <v>30</v>
      </c>
      <c r="N102" s="6" t="str">
        <f t="shared" si="5"/>
        <v>Tersedia</v>
      </c>
      <c r="O102" s="5" t="s">
        <v>70</v>
      </c>
    </row>
    <row r="103" spans="1:15" x14ac:dyDescent="0.35">
      <c r="A103" s="2" t="s">
        <v>301</v>
      </c>
      <c r="B103" s="2" t="s">
        <v>95</v>
      </c>
      <c r="C103" s="2" t="s">
        <v>62</v>
      </c>
      <c r="D103" s="2" t="s">
        <v>63</v>
      </c>
      <c r="E103" s="2" t="s">
        <v>101</v>
      </c>
      <c r="F103" s="3" t="s">
        <v>215</v>
      </c>
      <c r="G103" s="3"/>
      <c r="H103" s="4">
        <v>20</v>
      </c>
      <c r="I103" s="4">
        <v>0</v>
      </c>
      <c r="J103" s="4">
        <f t="shared" si="3"/>
        <v>20</v>
      </c>
      <c r="K103" s="4">
        <v>850000</v>
      </c>
      <c r="L103" s="4">
        <f t="shared" si="4"/>
        <v>17000000</v>
      </c>
      <c r="M103" s="2" t="s">
        <v>30</v>
      </c>
      <c r="N103" s="3" t="str">
        <f t="shared" si="5"/>
        <v>Tersedia</v>
      </c>
      <c r="O103" s="2" t="s">
        <v>86</v>
      </c>
    </row>
    <row r="104" spans="1:15" x14ac:dyDescent="0.35">
      <c r="A104" s="5" t="s">
        <v>302</v>
      </c>
      <c r="B104" s="5" t="s">
        <v>120</v>
      </c>
      <c r="C104" s="5" t="s">
        <v>73</v>
      </c>
      <c r="D104" s="5" t="s">
        <v>74</v>
      </c>
      <c r="E104" s="5" t="s">
        <v>34</v>
      </c>
      <c r="F104" s="6" t="s">
        <v>131</v>
      </c>
      <c r="G104" s="6" t="s">
        <v>49</v>
      </c>
      <c r="H104" s="7">
        <v>200</v>
      </c>
      <c r="I104" s="7">
        <v>5</v>
      </c>
      <c r="J104" s="7">
        <f t="shared" si="3"/>
        <v>195</v>
      </c>
      <c r="K104" s="7">
        <v>75000</v>
      </c>
      <c r="L104" s="7">
        <f t="shared" si="4"/>
        <v>14625000</v>
      </c>
      <c r="M104" s="5" t="s">
        <v>85</v>
      </c>
      <c r="N104" s="6" t="str">
        <f t="shared" si="5"/>
        <v>Tersedia</v>
      </c>
      <c r="O104" s="5" t="s">
        <v>36</v>
      </c>
    </row>
    <row r="105" spans="1:15" x14ac:dyDescent="0.35">
      <c r="A105" s="2" t="s">
        <v>232</v>
      </c>
      <c r="B105" s="2" t="s">
        <v>114</v>
      </c>
      <c r="C105" s="2" t="s">
        <v>17</v>
      </c>
      <c r="D105" s="2" t="s">
        <v>18</v>
      </c>
      <c r="E105" s="2" t="s">
        <v>101</v>
      </c>
      <c r="F105" s="3" t="s">
        <v>146</v>
      </c>
      <c r="G105" s="3" t="s">
        <v>274</v>
      </c>
      <c r="H105" s="4">
        <v>150</v>
      </c>
      <c r="I105" s="4">
        <v>124</v>
      </c>
      <c r="J105" s="4">
        <f t="shared" si="3"/>
        <v>26</v>
      </c>
      <c r="K105" s="4">
        <v>85000</v>
      </c>
      <c r="L105" s="4">
        <f t="shared" si="4"/>
        <v>2210000</v>
      </c>
      <c r="M105" s="2" t="s">
        <v>22</v>
      </c>
      <c r="N105" s="3" t="str">
        <f t="shared" si="5"/>
        <v>Tersedia</v>
      </c>
      <c r="O105" s="2" t="s">
        <v>36</v>
      </c>
    </row>
    <row r="106" spans="1:15" x14ac:dyDescent="0.35">
      <c r="A106" s="5" t="s">
        <v>216</v>
      </c>
      <c r="B106" s="5" t="s">
        <v>46</v>
      </c>
      <c r="C106" s="5" t="s">
        <v>26</v>
      </c>
      <c r="D106" s="5" t="s">
        <v>27</v>
      </c>
      <c r="E106" s="5" t="s">
        <v>64</v>
      </c>
      <c r="F106" s="6" t="s">
        <v>303</v>
      </c>
      <c r="G106" s="6" t="s">
        <v>90</v>
      </c>
      <c r="H106" s="7">
        <v>10</v>
      </c>
      <c r="I106" s="7">
        <v>1</v>
      </c>
      <c r="J106" s="7">
        <f t="shared" si="3"/>
        <v>9</v>
      </c>
      <c r="K106" s="7">
        <v>35000</v>
      </c>
      <c r="L106" s="7">
        <f t="shared" si="4"/>
        <v>315000</v>
      </c>
      <c r="M106" s="5" t="s">
        <v>85</v>
      </c>
      <c r="N106" s="6" t="str">
        <f t="shared" si="5"/>
        <v>Tersedia</v>
      </c>
      <c r="O106" s="5" t="s">
        <v>31</v>
      </c>
    </row>
    <row r="107" spans="1:15" x14ac:dyDescent="0.35">
      <c r="A107" s="2" t="s">
        <v>304</v>
      </c>
      <c r="B107" s="2" t="s">
        <v>25</v>
      </c>
      <c r="C107" s="2" t="s">
        <v>26</v>
      </c>
      <c r="D107" s="2" t="s">
        <v>27</v>
      </c>
      <c r="E107" s="2" t="s">
        <v>64</v>
      </c>
      <c r="F107" s="3" t="s">
        <v>305</v>
      </c>
      <c r="G107" s="3" t="s">
        <v>276</v>
      </c>
      <c r="H107" s="4">
        <v>100</v>
      </c>
      <c r="I107" s="4">
        <v>8</v>
      </c>
      <c r="J107" s="4">
        <f t="shared" si="3"/>
        <v>92</v>
      </c>
      <c r="K107" s="4">
        <v>45000</v>
      </c>
      <c r="L107" s="4">
        <f t="shared" si="4"/>
        <v>4140000</v>
      </c>
      <c r="M107" s="2" t="s">
        <v>22</v>
      </c>
      <c r="N107" s="3" t="str">
        <f t="shared" si="5"/>
        <v>Tersedia</v>
      </c>
      <c r="O107" s="2" t="s">
        <v>86</v>
      </c>
    </row>
    <row r="108" spans="1:15" x14ac:dyDescent="0.35">
      <c r="A108" s="5" t="s">
        <v>306</v>
      </c>
      <c r="B108" s="5" t="s">
        <v>100</v>
      </c>
      <c r="C108" s="5" t="s">
        <v>81</v>
      </c>
      <c r="D108" s="5" t="s">
        <v>82</v>
      </c>
      <c r="E108" s="5" t="s">
        <v>151</v>
      </c>
      <c r="F108" s="6" t="s">
        <v>307</v>
      </c>
      <c r="G108" s="6" t="s">
        <v>269</v>
      </c>
      <c r="H108" s="7">
        <v>150</v>
      </c>
      <c r="I108" s="7">
        <v>90</v>
      </c>
      <c r="J108" s="7">
        <f t="shared" si="3"/>
        <v>60</v>
      </c>
      <c r="K108" s="7">
        <v>220000</v>
      </c>
      <c r="L108" s="7">
        <f t="shared" si="4"/>
        <v>13200000</v>
      </c>
      <c r="M108" s="5" t="s">
        <v>22</v>
      </c>
      <c r="N108" s="6" t="str">
        <f t="shared" si="5"/>
        <v>Tersedia</v>
      </c>
      <c r="O108" s="5" t="s">
        <v>44</v>
      </c>
    </row>
    <row r="109" spans="1:15" x14ac:dyDescent="0.35">
      <c r="A109" s="2" t="s">
        <v>24</v>
      </c>
      <c r="B109" s="2" t="s">
        <v>67</v>
      </c>
      <c r="C109" s="2" t="s">
        <v>39</v>
      </c>
      <c r="D109" s="2" t="s">
        <v>40</v>
      </c>
      <c r="E109" s="2" t="s">
        <v>96</v>
      </c>
      <c r="F109" s="3" t="s">
        <v>308</v>
      </c>
      <c r="G109" s="3"/>
      <c r="H109" s="4">
        <v>5</v>
      </c>
      <c r="I109" s="4">
        <v>0</v>
      </c>
      <c r="J109" s="4">
        <f t="shared" si="3"/>
        <v>5</v>
      </c>
      <c r="K109" s="4">
        <v>3800000</v>
      </c>
      <c r="L109" s="4">
        <f t="shared" si="4"/>
        <v>19000000</v>
      </c>
      <c r="M109" s="2" t="s">
        <v>43</v>
      </c>
      <c r="N109" s="3" t="str">
        <f t="shared" si="5"/>
        <v>Menipis</v>
      </c>
      <c r="O109" s="2" t="s">
        <v>76</v>
      </c>
    </row>
    <row r="110" spans="1:15" x14ac:dyDescent="0.35">
      <c r="A110" s="5" t="s">
        <v>309</v>
      </c>
      <c r="B110" s="5" t="s">
        <v>72</v>
      </c>
      <c r="C110" s="5" t="s">
        <v>73</v>
      </c>
      <c r="D110" s="5" t="s">
        <v>74</v>
      </c>
      <c r="E110" s="5" t="s">
        <v>19</v>
      </c>
      <c r="F110" s="6" t="s">
        <v>310</v>
      </c>
      <c r="G110" s="6"/>
      <c r="H110" s="7">
        <v>50</v>
      </c>
      <c r="I110" s="7">
        <v>0</v>
      </c>
      <c r="J110" s="7">
        <f t="shared" si="3"/>
        <v>50</v>
      </c>
      <c r="K110" s="7">
        <v>240000</v>
      </c>
      <c r="L110" s="7">
        <f t="shared" si="4"/>
        <v>12000000</v>
      </c>
      <c r="M110" s="5" t="s">
        <v>30</v>
      </c>
      <c r="N110" s="6" t="str">
        <f t="shared" si="5"/>
        <v>Tersedia</v>
      </c>
      <c r="O110" s="5" t="s">
        <v>86</v>
      </c>
    </row>
    <row r="111" spans="1:15" x14ac:dyDescent="0.35">
      <c r="A111" s="2" t="s">
        <v>311</v>
      </c>
      <c r="B111" s="2" t="s">
        <v>184</v>
      </c>
      <c r="C111" s="2" t="s">
        <v>62</v>
      </c>
      <c r="D111" s="2" t="s">
        <v>63</v>
      </c>
      <c r="E111" s="2" t="s">
        <v>68</v>
      </c>
      <c r="F111" s="3" t="s">
        <v>312</v>
      </c>
      <c r="G111" s="3" t="s">
        <v>313</v>
      </c>
      <c r="H111" s="4">
        <v>200</v>
      </c>
      <c r="I111" s="4">
        <v>167</v>
      </c>
      <c r="J111" s="4">
        <f t="shared" si="3"/>
        <v>33</v>
      </c>
      <c r="K111" s="4">
        <v>1250000</v>
      </c>
      <c r="L111" s="4">
        <f t="shared" si="4"/>
        <v>41250000</v>
      </c>
      <c r="M111" s="2" t="s">
        <v>30</v>
      </c>
      <c r="N111" s="3" t="str">
        <f t="shared" si="5"/>
        <v>Tersedia</v>
      </c>
      <c r="O111" s="2" t="s">
        <v>36</v>
      </c>
    </row>
    <row r="112" spans="1:15" x14ac:dyDescent="0.35">
      <c r="A112" s="5" t="s">
        <v>314</v>
      </c>
      <c r="B112" s="5" t="s">
        <v>158</v>
      </c>
      <c r="C112" s="5" t="s">
        <v>26</v>
      </c>
      <c r="D112" s="5" t="s">
        <v>27</v>
      </c>
      <c r="E112" s="5" t="s">
        <v>64</v>
      </c>
      <c r="F112" s="6" t="s">
        <v>315</v>
      </c>
      <c r="G112" s="6" t="s">
        <v>316</v>
      </c>
      <c r="H112" s="7">
        <v>50</v>
      </c>
      <c r="I112" s="7">
        <v>3</v>
      </c>
      <c r="J112" s="7">
        <f t="shared" si="3"/>
        <v>47</v>
      </c>
      <c r="K112" s="7">
        <v>65000</v>
      </c>
      <c r="L112" s="7">
        <f t="shared" si="4"/>
        <v>3055000</v>
      </c>
      <c r="M112" s="5" t="s">
        <v>30</v>
      </c>
      <c r="N112" s="6" t="str">
        <f t="shared" si="5"/>
        <v>Tersedia</v>
      </c>
      <c r="O112" s="5" t="s">
        <v>36</v>
      </c>
    </row>
    <row r="113" spans="1:15" x14ac:dyDescent="0.35">
      <c r="A113" s="2" t="s">
        <v>176</v>
      </c>
      <c r="B113" s="2" t="s">
        <v>38</v>
      </c>
      <c r="C113" s="2" t="s">
        <v>39</v>
      </c>
      <c r="D113" s="2" t="s">
        <v>40</v>
      </c>
      <c r="E113" s="2" t="s">
        <v>96</v>
      </c>
      <c r="F113" s="3" t="s">
        <v>317</v>
      </c>
      <c r="G113" s="3" t="s">
        <v>264</v>
      </c>
      <c r="H113" s="4">
        <v>2</v>
      </c>
      <c r="I113" s="4">
        <v>1</v>
      </c>
      <c r="J113" s="4">
        <f t="shared" si="3"/>
        <v>1</v>
      </c>
      <c r="K113" s="4">
        <v>4500000</v>
      </c>
      <c r="L113" s="4">
        <f t="shared" si="4"/>
        <v>4500000</v>
      </c>
      <c r="M113" s="2" t="s">
        <v>43</v>
      </c>
      <c r="N113" s="3" t="str">
        <f t="shared" si="5"/>
        <v>Menipis</v>
      </c>
      <c r="O113" s="2" t="s">
        <v>86</v>
      </c>
    </row>
    <row r="114" spans="1:15" x14ac:dyDescent="0.35">
      <c r="A114" s="5" t="s">
        <v>318</v>
      </c>
      <c r="B114" s="5" t="s">
        <v>33</v>
      </c>
      <c r="C114" s="5" t="s">
        <v>26</v>
      </c>
      <c r="D114" s="5" t="s">
        <v>27</v>
      </c>
      <c r="E114" s="5" t="s">
        <v>34</v>
      </c>
      <c r="F114" s="6" t="s">
        <v>172</v>
      </c>
      <c r="G114" s="6"/>
      <c r="H114" s="7">
        <v>10</v>
      </c>
      <c r="I114" s="7">
        <v>0</v>
      </c>
      <c r="J114" s="7">
        <f t="shared" si="3"/>
        <v>10</v>
      </c>
      <c r="K114" s="7">
        <v>12000</v>
      </c>
      <c r="L114" s="7">
        <f t="shared" si="4"/>
        <v>120000</v>
      </c>
      <c r="M114" s="5" t="s">
        <v>35</v>
      </c>
      <c r="N114" s="6" t="str">
        <f t="shared" si="5"/>
        <v>Tersedia</v>
      </c>
      <c r="O114" s="5" t="s">
        <v>31</v>
      </c>
    </row>
    <row r="115" spans="1:15" x14ac:dyDescent="0.35">
      <c r="A115" s="2" t="s">
        <v>319</v>
      </c>
      <c r="B115" s="2" t="s">
        <v>165</v>
      </c>
      <c r="C115" s="2" t="s">
        <v>17</v>
      </c>
      <c r="D115" s="2" t="s">
        <v>18</v>
      </c>
      <c r="E115" s="2" t="s">
        <v>47</v>
      </c>
      <c r="F115" s="3" t="s">
        <v>320</v>
      </c>
      <c r="G115" s="3"/>
      <c r="H115" s="4">
        <v>100</v>
      </c>
      <c r="I115" s="4">
        <v>0</v>
      </c>
      <c r="J115" s="4">
        <f t="shared" si="3"/>
        <v>100</v>
      </c>
      <c r="K115" s="4">
        <v>35000</v>
      </c>
      <c r="L115" s="4">
        <f t="shared" si="4"/>
        <v>3500000</v>
      </c>
      <c r="M115" s="2" t="s">
        <v>22</v>
      </c>
      <c r="N115" s="3" t="str">
        <f t="shared" si="5"/>
        <v>Tersedia</v>
      </c>
      <c r="O115" s="2" t="s">
        <v>70</v>
      </c>
    </row>
    <row r="116" spans="1:15" x14ac:dyDescent="0.35">
      <c r="A116" s="5" t="s">
        <v>321</v>
      </c>
      <c r="B116" s="5" t="s">
        <v>67</v>
      </c>
      <c r="C116" s="5" t="s">
        <v>39</v>
      </c>
      <c r="D116" s="5" t="s">
        <v>40</v>
      </c>
      <c r="E116" s="5" t="s">
        <v>151</v>
      </c>
      <c r="F116" s="6" t="s">
        <v>225</v>
      </c>
      <c r="G116" s="6" t="s">
        <v>322</v>
      </c>
      <c r="H116" s="7">
        <v>2</v>
      </c>
      <c r="I116" s="7">
        <v>2</v>
      </c>
      <c r="J116" s="7">
        <f t="shared" si="3"/>
        <v>0</v>
      </c>
      <c r="K116" s="7">
        <v>3800000</v>
      </c>
      <c r="L116" s="7">
        <f t="shared" si="4"/>
        <v>0</v>
      </c>
      <c r="M116" s="5" t="s">
        <v>30</v>
      </c>
      <c r="N116" s="6" t="str">
        <f t="shared" si="5"/>
        <v>Habis</v>
      </c>
      <c r="O116" s="5" t="s">
        <v>86</v>
      </c>
    </row>
    <row r="117" spans="1:15" x14ac:dyDescent="0.35">
      <c r="A117" s="2" t="s">
        <v>323</v>
      </c>
      <c r="B117" s="2" t="s">
        <v>33</v>
      </c>
      <c r="C117" s="2" t="s">
        <v>26</v>
      </c>
      <c r="D117" s="2" t="s">
        <v>27</v>
      </c>
      <c r="E117" s="2" t="s">
        <v>101</v>
      </c>
      <c r="F117" s="3" t="s">
        <v>148</v>
      </c>
      <c r="G117" s="3" t="s">
        <v>145</v>
      </c>
      <c r="H117" s="4">
        <v>10</v>
      </c>
      <c r="I117" s="4">
        <v>9</v>
      </c>
      <c r="J117" s="4">
        <f t="shared" si="3"/>
        <v>1</v>
      </c>
      <c r="K117" s="4">
        <v>12000</v>
      </c>
      <c r="L117" s="4">
        <f t="shared" si="4"/>
        <v>12000</v>
      </c>
      <c r="M117" s="2" t="s">
        <v>35</v>
      </c>
      <c r="N117" s="3" t="str">
        <f t="shared" si="5"/>
        <v>Menipis</v>
      </c>
      <c r="O117" s="2" t="s">
        <v>44</v>
      </c>
    </row>
    <row r="118" spans="1:15" x14ac:dyDescent="0.35">
      <c r="A118" s="5" t="s">
        <v>324</v>
      </c>
      <c r="B118" s="5" t="s">
        <v>88</v>
      </c>
      <c r="C118" s="5" t="s">
        <v>73</v>
      </c>
      <c r="D118" s="5" t="s">
        <v>74</v>
      </c>
      <c r="E118" s="5" t="s">
        <v>68</v>
      </c>
      <c r="F118" s="6" t="s">
        <v>235</v>
      </c>
      <c r="G118" s="6" t="s">
        <v>325</v>
      </c>
      <c r="H118" s="7">
        <v>50</v>
      </c>
      <c r="I118" s="7">
        <v>43</v>
      </c>
      <c r="J118" s="7">
        <f t="shared" si="3"/>
        <v>7</v>
      </c>
      <c r="K118" s="7">
        <v>650000</v>
      </c>
      <c r="L118" s="7">
        <f t="shared" si="4"/>
        <v>4550000</v>
      </c>
      <c r="M118" s="5" t="s">
        <v>85</v>
      </c>
      <c r="N118" s="6" t="str">
        <f t="shared" si="5"/>
        <v>Tersedia</v>
      </c>
      <c r="O118" s="5" t="s">
        <v>36</v>
      </c>
    </row>
    <row r="119" spans="1:15" x14ac:dyDescent="0.35">
      <c r="A119" s="2" t="s">
        <v>32</v>
      </c>
      <c r="B119" s="2" t="s">
        <v>67</v>
      </c>
      <c r="C119" s="2" t="s">
        <v>39</v>
      </c>
      <c r="D119" s="2" t="s">
        <v>40</v>
      </c>
      <c r="E119" s="2" t="s">
        <v>47</v>
      </c>
      <c r="F119" s="3" t="s">
        <v>326</v>
      </c>
      <c r="G119" s="3"/>
      <c r="H119" s="4">
        <v>2</v>
      </c>
      <c r="I119" s="4">
        <v>0</v>
      </c>
      <c r="J119" s="4">
        <f t="shared" si="3"/>
        <v>2</v>
      </c>
      <c r="K119" s="4">
        <v>3800000</v>
      </c>
      <c r="L119" s="4">
        <f t="shared" si="4"/>
        <v>7600000</v>
      </c>
      <c r="M119" s="2" t="s">
        <v>43</v>
      </c>
      <c r="N119" s="3" t="str">
        <f t="shared" si="5"/>
        <v>Menipis</v>
      </c>
      <c r="O119" s="2" t="s">
        <v>86</v>
      </c>
    </row>
    <row r="120" spans="1:15" x14ac:dyDescent="0.35">
      <c r="A120" s="5" t="s">
        <v>327</v>
      </c>
      <c r="B120" s="5" t="s">
        <v>51</v>
      </c>
      <c r="C120" s="5" t="s">
        <v>17</v>
      </c>
      <c r="D120" s="5" t="s">
        <v>18</v>
      </c>
      <c r="E120" s="5" t="s">
        <v>101</v>
      </c>
      <c r="F120" s="6" t="s">
        <v>328</v>
      </c>
      <c r="G120" s="6" t="s">
        <v>329</v>
      </c>
      <c r="H120" s="7">
        <v>10</v>
      </c>
      <c r="I120" s="7">
        <v>4</v>
      </c>
      <c r="J120" s="7">
        <f t="shared" si="3"/>
        <v>6</v>
      </c>
      <c r="K120" s="7">
        <v>150000</v>
      </c>
      <c r="L120" s="7">
        <f t="shared" si="4"/>
        <v>900000</v>
      </c>
      <c r="M120" s="5" t="s">
        <v>85</v>
      </c>
      <c r="N120" s="6" t="str">
        <f t="shared" si="5"/>
        <v>Tersedia</v>
      </c>
      <c r="O120" s="5" t="s">
        <v>44</v>
      </c>
    </row>
    <row r="121" spans="1:15" x14ac:dyDescent="0.35">
      <c r="A121" s="2" t="s">
        <v>330</v>
      </c>
      <c r="B121" s="2" t="s">
        <v>72</v>
      </c>
      <c r="C121" s="2" t="s">
        <v>73</v>
      </c>
      <c r="D121" s="2" t="s">
        <v>74</v>
      </c>
      <c r="E121" s="2" t="s">
        <v>151</v>
      </c>
      <c r="F121" s="3" t="s">
        <v>331</v>
      </c>
      <c r="G121" s="3" t="s">
        <v>231</v>
      </c>
      <c r="H121" s="4">
        <v>10</v>
      </c>
      <c r="I121" s="4">
        <v>10</v>
      </c>
      <c r="J121" s="4">
        <f t="shared" si="3"/>
        <v>0</v>
      </c>
      <c r="K121" s="4">
        <v>240000</v>
      </c>
      <c r="L121" s="4">
        <f t="shared" si="4"/>
        <v>0</v>
      </c>
      <c r="M121" s="2" t="s">
        <v>35</v>
      </c>
      <c r="N121" s="3" t="str">
        <f t="shared" si="5"/>
        <v>Habis</v>
      </c>
      <c r="O121" s="2" t="s">
        <v>59</v>
      </c>
    </row>
    <row r="122" spans="1:15" x14ac:dyDescent="0.35">
      <c r="A122" s="5" t="s">
        <v>332</v>
      </c>
      <c r="B122" s="5" t="s">
        <v>184</v>
      </c>
      <c r="C122" s="5" t="s">
        <v>62</v>
      </c>
      <c r="D122" s="5" t="s">
        <v>63</v>
      </c>
      <c r="E122" s="5" t="s">
        <v>34</v>
      </c>
      <c r="F122" s="6" t="s">
        <v>299</v>
      </c>
      <c r="G122" s="6" t="s">
        <v>333</v>
      </c>
      <c r="H122" s="7">
        <v>200</v>
      </c>
      <c r="I122" s="7">
        <v>128</v>
      </c>
      <c r="J122" s="7">
        <f t="shared" si="3"/>
        <v>72</v>
      </c>
      <c r="K122" s="7">
        <v>1250000</v>
      </c>
      <c r="L122" s="7">
        <f t="shared" si="4"/>
        <v>90000000</v>
      </c>
      <c r="M122" s="5" t="s">
        <v>30</v>
      </c>
      <c r="N122" s="6" t="str">
        <f t="shared" si="5"/>
        <v>Tersedia</v>
      </c>
      <c r="O122" s="5" t="s">
        <v>44</v>
      </c>
    </row>
    <row r="123" spans="1:15" x14ac:dyDescent="0.35">
      <c r="A123" s="2" t="s">
        <v>334</v>
      </c>
      <c r="B123" s="2" t="s">
        <v>184</v>
      </c>
      <c r="C123" s="2" t="s">
        <v>62</v>
      </c>
      <c r="D123" s="2" t="s">
        <v>63</v>
      </c>
      <c r="E123" s="2" t="s">
        <v>56</v>
      </c>
      <c r="F123" s="3" t="s">
        <v>335</v>
      </c>
      <c r="G123" s="3" t="s">
        <v>336</v>
      </c>
      <c r="H123" s="4">
        <v>200</v>
      </c>
      <c r="I123" s="4">
        <v>196</v>
      </c>
      <c r="J123" s="4">
        <f t="shared" si="3"/>
        <v>4</v>
      </c>
      <c r="K123" s="4">
        <v>1250000</v>
      </c>
      <c r="L123" s="4">
        <f t="shared" si="4"/>
        <v>5000000</v>
      </c>
      <c r="M123" s="2" t="s">
        <v>85</v>
      </c>
      <c r="N123" s="3" t="str">
        <f t="shared" si="5"/>
        <v>Menipis</v>
      </c>
      <c r="O123" s="2" t="s">
        <v>44</v>
      </c>
    </row>
    <row r="124" spans="1:15" x14ac:dyDescent="0.35">
      <c r="A124" s="5" t="s">
        <v>337</v>
      </c>
      <c r="B124" s="5" t="s">
        <v>100</v>
      </c>
      <c r="C124" s="5" t="s">
        <v>81</v>
      </c>
      <c r="D124" s="5" t="s">
        <v>82</v>
      </c>
      <c r="E124" s="5" t="s">
        <v>47</v>
      </c>
      <c r="F124" s="6" t="s">
        <v>338</v>
      </c>
      <c r="G124" s="6" t="s">
        <v>28</v>
      </c>
      <c r="H124" s="7">
        <v>20</v>
      </c>
      <c r="I124" s="7">
        <v>5</v>
      </c>
      <c r="J124" s="7">
        <f t="shared" si="3"/>
        <v>15</v>
      </c>
      <c r="K124" s="7">
        <v>220000</v>
      </c>
      <c r="L124" s="7">
        <f t="shared" si="4"/>
        <v>3300000</v>
      </c>
      <c r="M124" s="5" t="s">
        <v>35</v>
      </c>
      <c r="N124" s="6" t="str">
        <f t="shared" si="5"/>
        <v>Tersedia</v>
      </c>
      <c r="O124" s="5" t="s">
        <v>59</v>
      </c>
    </row>
    <row r="125" spans="1:15" x14ac:dyDescent="0.35">
      <c r="A125" s="2" t="s">
        <v>260</v>
      </c>
      <c r="B125" s="2" t="s">
        <v>206</v>
      </c>
      <c r="C125" s="2" t="s">
        <v>73</v>
      </c>
      <c r="D125" s="2" t="s">
        <v>74</v>
      </c>
      <c r="E125" s="2" t="s">
        <v>101</v>
      </c>
      <c r="F125" s="3" t="s">
        <v>254</v>
      </c>
      <c r="G125" s="3"/>
      <c r="H125" s="4">
        <v>100</v>
      </c>
      <c r="I125" s="4">
        <v>0</v>
      </c>
      <c r="J125" s="4">
        <f t="shared" si="3"/>
        <v>100</v>
      </c>
      <c r="K125" s="4">
        <v>45000</v>
      </c>
      <c r="L125" s="4">
        <f t="shared" si="4"/>
        <v>4500000</v>
      </c>
      <c r="M125" s="2" t="s">
        <v>43</v>
      </c>
      <c r="N125" s="3" t="str">
        <f t="shared" si="5"/>
        <v>Tersedia</v>
      </c>
      <c r="O125" s="2" t="s">
        <v>44</v>
      </c>
    </row>
    <row r="126" spans="1:15" x14ac:dyDescent="0.35">
      <c r="A126" s="5" t="s">
        <v>339</v>
      </c>
      <c r="B126" s="5" t="s">
        <v>67</v>
      </c>
      <c r="C126" s="5" t="s">
        <v>39</v>
      </c>
      <c r="D126" s="5" t="s">
        <v>40</v>
      </c>
      <c r="E126" s="5" t="s">
        <v>47</v>
      </c>
      <c r="F126" s="6" t="s">
        <v>128</v>
      </c>
      <c r="G126" s="6" t="s">
        <v>340</v>
      </c>
      <c r="H126" s="7">
        <v>10</v>
      </c>
      <c r="I126" s="7">
        <v>9</v>
      </c>
      <c r="J126" s="7">
        <f t="shared" si="3"/>
        <v>1</v>
      </c>
      <c r="K126" s="7">
        <v>3800000</v>
      </c>
      <c r="L126" s="7">
        <f t="shared" si="4"/>
        <v>3800000</v>
      </c>
      <c r="M126" s="5" t="s">
        <v>85</v>
      </c>
      <c r="N126" s="6" t="str">
        <f t="shared" si="5"/>
        <v>Menipis</v>
      </c>
      <c r="O126" s="5" t="s">
        <v>70</v>
      </c>
    </row>
    <row r="127" spans="1:15" x14ac:dyDescent="0.35">
      <c r="A127" s="2" t="s">
        <v>190</v>
      </c>
      <c r="B127" s="2" t="s">
        <v>80</v>
      </c>
      <c r="C127" s="2" t="s">
        <v>81</v>
      </c>
      <c r="D127" s="2" t="s">
        <v>82</v>
      </c>
      <c r="E127" s="2" t="s">
        <v>34</v>
      </c>
      <c r="F127" s="3" t="s">
        <v>341</v>
      </c>
      <c r="G127" s="3" t="s">
        <v>342</v>
      </c>
      <c r="H127" s="4">
        <v>20</v>
      </c>
      <c r="I127" s="4">
        <v>4</v>
      </c>
      <c r="J127" s="4">
        <f t="shared" si="3"/>
        <v>16</v>
      </c>
      <c r="K127" s="4">
        <v>280000</v>
      </c>
      <c r="L127" s="4">
        <f t="shared" si="4"/>
        <v>4480000</v>
      </c>
      <c r="M127" s="2" t="s">
        <v>35</v>
      </c>
      <c r="N127" s="3" t="str">
        <f t="shared" si="5"/>
        <v>Tersedia</v>
      </c>
      <c r="O127" s="2" t="s">
        <v>59</v>
      </c>
    </row>
    <row r="128" spans="1:15" x14ac:dyDescent="0.35">
      <c r="A128" s="5" t="s">
        <v>343</v>
      </c>
      <c r="B128" s="5" t="s">
        <v>114</v>
      </c>
      <c r="C128" s="5" t="s">
        <v>17</v>
      </c>
      <c r="D128" s="5" t="s">
        <v>18</v>
      </c>
      <c r="E128" s="5" t="s">
        <v>64</v>
      </c>
      <c r="F128" s="6" t="s">
        <v>344</v>
      </c>
      <c r="G128" s="6" t="s">
        <v>305</v>
      </c>
      <c r="H128" s="7">
        <v>200</v>
      </c>
      <c r="I128" s="7">
        <v>168</v>
      </c>
      <c r="J128" s="7">
        <f t="shared" si="3"/>
        <v>32</v>
      </c>
      <c r="K128" s="7">
        <v>85000</v>
      </c>
      <c r="L128" s="7">
        <f t="shared" si="4"/>
        <v>2720000</v>
      </c>
      <c r="M128" s="5" t="s">
        <v>30</v>
      </c>
      <c r="N128" s="6" t="str">
        <f t="shared" si="5"/>
        <v>Tersedia</v>
      </c>
      <c r="O128" s="5" t="s">
        <v>59</v>
      </c>
    </row>
    <row r="129" spans="1:15" x14ac:dyDescent="0.35">
      <c r="A129" s="2" t="s">
        <v>345</v>
      </c>
      <c r="B129" s="2" t="s">
        <v>120</v>
      </c>
      <c r="C129" s="2" t="s">
        <v>73</v>
      </c>
      <c r="D129" s="2" t="s">
        <v>74</v>
      </c>
      <c r="E129" s="2" t="s">
        <v>56</v>
      </c>
      <c r="F129" s="3" t="s">
        <v>133</v>
      </c>
      <c r="G129" s="3" t="s">
        <v>346</v>
      </c>
      <c r="H129" s="4">
        <v>10</v>
      </c>
      <c r="I129" s="4">
        <v>7</v>
      </c>
      <c r="J129" s="4">
        <f t="shared" si="3"/>
        <v>3</v>
      </c>
      <c r="K129" s="4">
        <v>75000</v>
      </c>
      <c r="L129" s="4">
        <f t="shared" si="4"/>
        <v>225000</v>
      </c>
      <c r="M129" s="2" t="s">
        <v>43</v>
      </c>
      <c r="N129" s="3" t="str">
        <f t="shared" si="5"/>
        <v>Menipis</v>
      </c>
      <c r="O129" s="2" t="s">
        <v>70</v>
      </c>
    </row>
    <row r="130" spans="1:15" x14ac:dyDescent="0.35">
      <c r="A130" s="5" t="s">
        <v>347</v>
      </c>
      <c r="B130" s="5" t="s">
        <v>127</v>
      </c>
      <c r="C130" s="5" t="s">
        <v>39</v>
      </c>
      <c r="D130" s="5" t="s">
        <v>40</v>
      </c>
      <c r="E130" s="5" t="s">
        <v>68</v>
      </c>
      <c r="F130" s="6" t="s">
        <v>90</v>
      </c>
      <c r="G130" s="6" t="s">
        <v>348</v>
      </c>
      <c r="H130" s="7">
        <v>2</v>
      </c>
      <c r="I130" s="7">
        <v>1</v>
      </c>
      <c r="J130" s="7">
        <f t="shared" si="3"/>
        <v>1</v>
      </c>
      <c r="K130" s="7">
        <v>1550000</v>
      </c>
      <c r="L130" s="7">
        <f t="shared" si="4"/>
        <v>1550000</v>
      </c>
      <c r="M130" s="5" t="s">
        <v>30</v>
      </c>
      <c r="N130" s="6" t="str">
        <f t="shared" si="5"/>
        <v>Menipis</v>
      </c>
      <c r="O130" s="5" t="s">
        <v>36</v>
      </c>
    </row>
    <row r="131" spans="1:15" x14ac:dyDescent="0.35">
      <c r="A131" s="2" t="s">
        <v>349</v>
      </c>
      <c r="B131" s="2" t="s">
        <v>138</v>
      </c>
      <c r="C131" s="2" t="s">
        <v>62</v>
      </c>
      <c r="D131" s="2" t="s">
        <v>63</v>
      </c>
      <c r="E131" s="2" t="s">
        <v>96</v>
      </c>
      <c r="F131" s="3" t="s">
        <v>350</v>
      </c>
      <c r="G131" s="3" t="s">
        <v>351</v>
      </c>
      <c r="H131" s="4">
        <v>150</v>
      </c>
      <c r="I131" s="4">
        <v>89</v>
      </c>
      <c r="J131" s="4">
        <f t="shared" si="3"/>
        <v>61</v>
      </c>
      <c r="K131" s="4">
        <v>450000</v>
      </c>
      <c r="L131" s="4">
        <f t="shared" si="4"/>
        <v>27450000</v>
      </c>
      <c r="M131" s="2" t="s">
        <v>35</v>
      </c>
      <c r="N131" s="3" t="str">
        <f t="shared" si="5"/>
        <v>Tersedia</v>
      </c>
      <c r="O131" s="2" t="s">
        <v>86</v>
      </c>
    </row>
    <row r="132" spans="1:15" x14ac:dyDescent="0.35">
      <c r="A132" s="5" t="s">
        <v>352</v>
      </c>
      <c r="B132" s="5" t="s">
        <v>138</v>
      </c>
      <c r="C132" s="5" t="s">
        <v>62</v>
      </c>
      <c r="D132" s="5" t="s">
        <v>63</v>
      </c>
      <c r="E132" s="5" t="s">
        <v>96</v>
      </c>
      <c r="F132" s="6" t="s">
        <v>350</v>
      </c>
      <c r="G132" s="6" t="s">
        <v>351</v>
      </c>
      <c r="H132" s="7">
        <v>100</v>
      </c>
      <c r="I132" s="7">
        <v>51</v>
      </c>
      <c r="J132" s="7">
        <f t="shared" si="3"/>
        <v>49</v>
      </c>
      <c r="K132" s="7">
        <v>450000</v>
      </c>
      <c r="L132" s="7">
        <f t="shared" si="4"/>
        <v>22050000</v>
      </c>
      <c r="M132" s="5" t="s">
        <v>43</v>
      </c>
      <c r="N132" s="6" t="str">
        <f t="shared" si="5"/>
        <v>Tersedia</v>
      </c>
      <c r="O132" s="5" t="s">
        <v>44</v>
      </c>
    </row>
    <row r="133" spans="1:15" x14ac:dyDescent="0.35">
      <c r="A133" s="2" t="s">
        <v>353</v>
      </c>
      <c r="B133" s="2" t="s">
        <v>100</v>
      </c>
      <c r="C133" s="2" t="s">
        <v>81</v>
      </c>
      <c r="D133" s="2" t="s">
        <v>82</v>
      </c>
      <c r="E133" s="2" t="s">
        <v>47</v>
      </c>
      <c r="F133" s="3" t="s">
        <v>354</v>
      </c>
      <c r="G133" s="3"/>
      <c r="H133" s="4">
        <v>100</v>
      </c>
      <c r="I133" s="4">
        <v>0</v>
      </c>
      <c r="J133" s="4">
        <f t="shared" ref="J133:J196" si="6">H133-I133</f>
        <v>100</v>
      </c>
      <c r="K133" s="4">
        <v>220000</v>
      </c>
      <c r="L133" s="4">
        <f t="shared" ref="L133:L196" si="7">J133*K133</f>
        <v>22000000</v>
      </c>
      <c r="M133" s="2" t="s">
        <v>35</v>
      </c>
      <c r="N133" s="3" t="str">
        <f t="shared" ref="N133:N196" si="8">IF(J133&lt;=0,"Habis",IF(J133&lt;=5,"Menipis","Tersedia"))</f>
        <v>Tersedia</v>
      </c>
      <c r="O133" s="2" t="s">
        <v>44</v>
      </c>
    </row>
    <row r="134" spans="1:15" x14ac:dyDescent="0.35">
      <c r="A134" s="5" t="s">
        <v>234</v>
      </c>
      <c r="B134" s="5" t="s">
        <v>88</v>
      </c>
      <c r="C134" s="5" t="s">
        <v>73</v>
      </c>
      <c r="D134" s="5" t="s">
        <v>74</v>
      </c>
      <c r="E134" s="5" t="s">
        <v>52</v>
      </c>
      <c r="F134" s="6" t="s">
        <v>355</v>
      </c>
      <c r="G134" s="6" t="s">
        <v>356</v>
      </c>
      <c r="H134" s="7">
        <v>10</v>
      </c>
      <c r="I134" s="7">
        <v>3</v>
      </c>
      <c r="J134" s="7">
        <f t="shared" si="6"/>
        <v>7</v>
      </c>
      <c r="K134" s="7">
        <v>650000</v>
      </c>
      <c r="L134" s="7">
        <f t="shared" si="7"/>
        <v>4550000</v>
      </c>
      <c r="M134" s="5" t="s">
        <v>43</v>
      </c>
      <c r="N134" s="6" t="str">
        <f t="shared" si="8"/>
        <v>Tersedia</v>
      </c>
      <c r="O134" s="5" t="s">
        <v>23</v>
      </c>
    </row>
    <row r="135" spans="1:15" x14ac:dyDescent="0.35">
      <c r="A135" s="2" t="s">
        <v>216</v>
      </c>
      <c r="B135" s="2" t="s">
        <v>25</v>
      </c>
      <c r="C135" s="2" t="s">
        <v>26</v>
      </c>
      <c r="D135" s="2" t="s">
        <v>27</v>
      </c>
      <c r="E135" s="2" t="s">
        <v>52</v>
      </c>
      <c r="F135" s="3" t="s">
        <v>331</v>
      </c>
      <c r="G135" s="3" t="s">
        <v>289</v>
      </c>
      <c r="H135" s="4">
        <v>150</v>
      </c>
      <c r="I135" s="4">
        <v>42</v>
      </c>
      <c r="J135" s="4">
        <f t="shared" si="6"/>
        <v>108</v>
      </c>
      <c r="K135" s="4">
        <v>45000</v>
      </c>
      <c r="L135" s="4">
        <f t="shared" si="7"/>
        <v>4860000</v>
      </c>
      <c r="M135" s="2" t="s">
        <v>85</v>
      </c>
      <c r="N135" s="3" t="str">
        <f t="shared" si="8"/>
        <v>Tersedia</v>
      </c>
      <c r="O135" s="2" t="s">
        <v>44</v>
      </c>
    </row>
    <row r="136" spans="1:15" x14ac:dyDescent="0.35">
      <c r="A136" s="5" t="s">
        <v>357</v>
      </c>
      <c r="B136" s="5" t="s">
        <v>138</v>
      </c>
      <c r="C136" s="5" t="s">
        <v>62</v>
      </c>
      <c r="D136" s="5" t="s">
        <v>63</v>
      </c>
      <c r="E136" s="5" t="s">
        <v>64</v>
      </c>
      <c r="F136" s="6" t="s">
        <v>358</v>
      </c>
      <c r="G136" s="6" t="s">
        <v>202</v>
      </c>
      <c r="H136" s="7">
        <v>10</v>
      </c>
      <c r="I136" s="7">
        <v>4</v>
      </c>
      <c r="J136" s="7">
        <f t="shared" si="6"/>
        <v>6</v>
      </c>
      <c r="K136" s="7">
        <v>450000</v>
      </c>
      <c r="L136" s="7">
        <f t="shared" si="7"/>
        <v>2700000</v>
      </c>
      <c r="M136" s="5" t="s">
        <v>43</v>
      </c>
      <c r="N136" s="6" t="str">
        <f t="shared" si="8"/>
        <v>Tersedia</v>
      </c>
      <c r="O136" s="5" t="s">
        <v>70</v>
      </c>
    </row>
    <row r="137" spans="1:15" x14ac:dyDescent="0.35">
      <c r="A137" s="2" t="s">
        <v>359</v>
      </c>
      <c r="B137" s="2" t="s">
        <v>184</v>
      </c>
      <c r="C137" s="2" t="s">
        <v>62</v>
      </c>
      <c r="D137" s="2" t="s">
        <v>63</v>
      </c>
      <c r="E137" s="2" t="s">
        <v>52</v>
      </c>
      <c r="F137" s="3" t="s">
        <v>360</v>
      </c>
      <c r="G137" s="3" t="s">
        <v>361</v>
      </c>
      <c r="H137" s="4">
        <v>10</v>
      </c>
      <c r="I137" s="4">
        <v>2</v>
      </c>
      <c r="J137" s="4">
        <f t="shared" si="6"/>
        <v>8</v>
      </c>
      <c r="K137" s="4">
        <v>1250000</v>
      </c>
      <c r="L137" s="4">
        <f t="shared" si="7"/>
        <v>10000000</v>
      </c>
      <c r="M137" s="2" t="s">
        <v>85</v>
      </c>
      <c r="N137" s="3" t="str">
        <f t="shared" si="8"/>
        <v>Tersedia</v>
      </c>
      <c r="O137" s="2" t="s">
        <v>70</v>
      </c>
    </row>
    <row r="138" spans="1:15" x14ac:dyDescent="0.35">
      <c r="A138" s="5" t="s">
        <v>256</v>
      </c>
      <c r="B138" s="5" t="s">
        <v>184</v>
      </c>
      <c r="C138" s="5" t="s">
        <v>62</v>
      </c>
      <c r="D138" s="5" t="s">
        <v>63</v>
      </c>
      <c r="E138" s="5" t="s">
        <v>151</v>
      </c>
      <c r="F138" s="6" t="s">
        <v>362</v>
      </c>
      <c r="G138" s="6" t="s">
        <v>363</v>
      </c>
      <c r="H138" s="7">
        <v>10</v>
      </c>
      <c r="I138" s="7">
        <v>10</v>
      </c>
      <c r="J138" s="7">
        <f t="shared" si="6"/>
        <v>0</v>
      </c>
      <c r="K138" s="7">
        <v>1250000</v>
      </c>
      <c r="L138" s="7">
        <f t="shared" si="7"/>
        <v>0</v>
      </c>
      <c r="M138" s="5" t="s">
        <v>43</v>
      </c>
      <c r="N138" s="6" t="str">
        <f t="shared" si="8"/>
        <v>Habis</v>
      </c>
      <c r="O138" s="5" t="s">
        <v>59</v>
      </c>
    </row>
    <row r="139" spans="1:15" x14ac:dyDescent="0.35">
      <c r="A139" s="2" t="s">
        <v>364</v>
      </c>
      <c r="B139" s="2" t="s">
        <v>25</v>
      </c>
      <c r="C139" s="2" t="s">
        <v>26</v>
      </c>
      <c r="D139" s="2" t="s">
        <v>27</v>
      </c>
      <c r="E139" s="2" t="s">
        <v>56</v>
      </c>
      <c r="F139" s="3" t="s">
        <v>365</v>
      </c>
      <c r="G139" s="3" t="s">
        <v>366</v>
      </c>
      <c r="H139" s="4">
        <v>50</v>
      </c>
      <c r="I139" s="4">
        <v>33</v>
      </c>
      <c r="J139" s="4">
        <f t="shared" si="6"/>
        <v>17</v>
      </c>
      <c r="K139" s="4">
        <v>45000</v>
      </c>
      <c r="L139" s="4">
        <f t="shared" si="7"/>
        <v>765000</v>
      </c>
      <c r="M139" s="2" t="s">
        <v>22</v>
      </c>
      <c r="N139" s="3" t="str">
        <f t="shared" si="8"/>
        <v>Tersedia</v>
      </c>
      <c r="O139" s="2" t="s">
        <v>31</v>
      </c>
    </row>
    <row r="140" spans="1:15" x14ac:dyDescent="0.35">
      <c r="A140" s="5" t="s">
        <v>364</v>
      </c>
      <c r="B140" s="5" t="s">
        <v>217</v>
      </c>
      <c r="C140" s="5" t="s">
        <v>26</v>
      </c>
      <c r="D140" s="5" t="s">
        <v>27</v>
      </c>
      <c r="E140" s="5" t="s">
        <v>68</v>
      </c>
      <c r="F140" s="6" t="s">
        <v>303</v>
      </c>
      <c r="G140" s="6" t="s">
        <v>90</v>
      </c>
      <c r="H140" s="7">
        <v>150</v>
      </c>
      <c r="I140" s="7">
        <v>115</v>
      </c>
      <c r="J140" s="7">
        <f t="shared" si="6"/>
        <v>35</v>
      </c>
      <c r="K140" s="7">
        <v>55000</v>
      </c>
      <c r="L140" s="7">
        <f t="shared" si="7"/>
        <v>1925000</v>
      </c>
      <c r="M140" s="5" t="s">
        <v>43</v>
      </c>
      <c r="N140" s="6" t="str">
        <f t="shared" si="8"/>
        <v>Tersedia</v>
      </c>
      <c r="O140" s="5" t="s">
        <v>76</v>
      </c>
    </row>
    <row r="141" spans="1:15" x14ac:dyDescent="0.35">
      <c r="A141" s="2" t="s">
        <v>367</v>
      </c>
      <c r="B141" s="2" t="s">
        <v>108</v>
      </c>
      <c r="C141" s="2" t="s">
        <v>62</v>
      </c>
      <c r="D141" s="2" t="s">
        <v>63</v>
      </c>
      <c r="E141" s="2" t="s">
        <v>101</v>
      </c>
      <c r="F141" s="3" t="s">
        <v>368</v>
      </c>
      <c r="G141" s="3" t="s">
        <v>41</v>
      </c>
      <c r="H141" s="4">
        <v>100</v>
      </c>
      <c r="I141" s="4">
        <v>56</v>
      </c>
      <c r="J141" s="4">
        <f t="shared" si="6"/>
        <v>44</v>
      </c>
      <c r="K141" s="4">
        <v>650000</v>
      </c>
      <c r="L141" s="4">
        <f t="shared" si="7"/>
        <v>28600000</v>
      </c>
      <c r="M141" s="2" t="s">
        <v>30</v>
      </c>
      <c r="N141" s="3" t="str">
        <f t="shared" si="8"/>
        <v>Tersedia</v>
      </c>
      <c r="O141" s="2" t="s">
        <v>86</v>
      </c>
    </row>
    <row r="142" spans="1:15" x14ac:dyDescent="0.35">
      <c r="A142" s="5" t="s">
        <v>369</v>
      </c>
      <c r="B142" s="5" t="s">
        <v>67</v>
      </c>
      <c r="C142" s="5" t="s">
        <v>39</v>
      </c>
      <c r="D142" s="5" t="s">
        <v>40</v>
      </c>
      <c r="E142" s="5" t="s">
        <v>47</v>
      </c>
      <c r="F142" s="6" t="s">
        <v>370</v>
      </c>
      <c r="G142" s="6" t="s">
        <v>371</v>
      </c>
      <c r="H142" s="7">
        <v>10</v>
      </c>
      <c r="I142" s="7">
        <v>4</v>
      </c>
      <c r="J142" s="7">
        <f t="shared" si="6"/>
        <v>6</v>
      </c>
      <c r="K142" s="7">
        <v>3800000</v>
      </c>
      <c r="L142" s="7">
        <f t="shared" si="7"/>
        <v>22800000</v>
      </c>
      <c r="M142" s="5" t="s">
        <v>30</v>
      </c>
      <c r="N142" s="6" t="str">
        <f t="shared" si="8"/>
        <v>Tersedia</v>
      </c>
      <c r="O142" s="5" t="s">
        <v>70</v>
      </c>
    </row>
    <row r="143" spans="1:15" x14ac:dyDescent="0.35">
      <c r="A143" s="2" t="s">
        <v>372</v>
      </c>
      <c r="B143" s="2" t="s">
        <v>108</v>
      </c>
      <c r="C143" s="2" t="s">
        <v>62</v>
      </c>
      <c r="D143" s="2" t="s">
        <v>63</v>
      </c>
      <c r="E143" s="2" t="s">
        <v>34</v>
      </c>
      <c r="F143" s="3" t="s">
        <v>373</v>
      </c>
      <c r="G143" s="3" t="s">
        <v>308</v>
      </c>
      <c r="H143" s="4">
        <v>200</v>
      </c>
      <c r="I143" s="4">
        <v>186</v>
      </c>
      <c r="J143" s="4">
        <f t="shared" si="6"/>
        <v>14</v>
      </c>
      <c r="K143" s="4">
        <v>650000</v>
      </c>
      <c r="L143" s="4">
        <f t="shared" si="7"/>
        <v>9100000</v>
      </c>
      <c r="M143" s="2" t="s">
        <v>85</v>
      </c>
      <c r="N143" s="3" t="str">
        <f t="shared" si="8"/>
        <v>Tersedia</v>
      </c>
      <c r="O143" s="2" t="s">
        <v>36</v>
      </c>
    </row>
    <row r="144" spans="1:15" x14ac:dyDescent="0.35">
      <c r="A144" s="5" t="s">
        <v>374</v>
      </c>
      <c r="B144" s="5" t="s">
        <v>206</v>
      </c>
      <c r="C144" s="5" t="s">
        <v>73</v>
      </c>
      <c r="D144" s="5" t="s">
        <v>74</v>
      </c>
      <c r="E144" s="5" t="s">
        <v>34</v>
      </c>
      <c r="F144" s="6" t="s">
        <v>375</v>
      </c>
      <c r="G144" s="6" t="s">
        <v>376</v>
      </c>
      <c r="H144" s="7">
        <v>20</v>
      </c>
      <c r="I144" s="7">
        <v>8</v>
      </c>
      <c r="J144" s="7">
        <f t="shared" si="6"/>
        <v>12</v>
      </c>
      <c r="K144" s="7">
        <v>45000</v>
      </c>
      <c r="L144" s="7">
        <f t="shared" si="7"/>
        <v>540000</v>
      </c>
      <c r="M144" s="5" t="s">
        <v>30</v>
      </c>
      <c r="N144" s="6" t="str">
        <f t="shared" si="8"/>
        <v>Tersedia</v>
      </c>
      <c r="O144" s="5" t="s">
        <v>44</v>
      </c>
    </row>
    <row r="145" spans="1:15" x14ac:dyDescent="0.35">
      <c r="A145" s="2" t="s">
        <v>178</v>
      </c>
      <c r="B145" s="2" t="s">
        <v>158</v>
      </c>
      <c r="C145" s="2" t="s">
        <v>26</v>
      </c>
      <c r="D145" s="2" t="s">
        <v>27</v>
      </c>
      <c r="E145" s="2" t="s">
        <v>151</v>
      </c>
      <c r="F145" s="3" t="s">
        <v>191</v>
      </c>
      <c r="G145" s="3"/>
      <c r="H145" s="4">
        <v>100</v>
      </c>
      <c r="I145" s="4">
        <v>0</v>
      </c>
      <c r="J145" s="4">
        <f t="shared" si="6"/>
        <v>100</v>
      </c>
      <c r="K145" s="4">
        <v>65000</v>
      </c>
      <c r="L145" s="4">
        <f t="shared" si="7"/>
        <v>6500000</v>
      </c>
      <c r="M145" s="2" t="s">
        <v>35</v>
      </c>
      <c r="N145" s="3" t="str">
        <f t="shared" si="8"/>
        <v>Tersedia</v>
      </c>
      <c r="O145" s="2" t="s">
        <v>59</v>
      </c>
    </row>
    <row r="146" spans="1:15" x14ac:dyDescent="0.35">
      <c r="A146" s="5" t="s">
        <v>161</v>
      </c>
      <c r="B146" s="5" t="s">
        <v>144</v>
      </c>
      <c r="C146" s="5" t="s">
        <v>39</v>
      </c>
      <c r="D146" s="5" t="s">
        <v>40</v>
      </c>
      <c r="E146" s="5" t="s">
        <v>68</v>
      </c>
      <c r="F146" s="6" t="s">
        <v>377</v>
      </c>
      <c r="G146" s="6" t="s">
        <v>378</v>
      </c>
      <c r="H146" s="7">
        <v>5</v>
      </c>
      <c r="I146" s="7">
        <v>4</v>
      </c>
      <c r="J146" s="7">
        <f t="shared" si="6"/>
        <v>1</v>
      </c>
      <c r="K146" s="7">
        <v>2450000</v>
      </c>
      <c r="L146" s="7">
        <f t="shared" si="7"/>
        <v>2450000</v>
      </c>
      <c r="M146" s="5" t="s">
        <v>35</v>
      </c>
      <c r="N146" s="6" t="str">
        <f t="shared" si="8"/>
        <v>Menipis</v>
      </c>
      <c r="O146" s="5" t="s">
        <v>36</v>
      </c>
    </row>
    <row r="147" spans="1:15" x14ac:dyDescent="0.35">
      <c r="A147" s="2" t="s">
        <v>379</v>
      </c>
      <c r="B147" s="2" t="s">
        <v>120</v>
      </c>
      <c r="C147" s="2" t="s">
        <v>73</v>
      </c>
      <c r="D147" s="2" t="s">
        <v>74</v>
      </c>
      <c r="E147" s="2" t="s">
        <v>47</v>
      </c>
      <c r="F147" s="3" t="s">
        <v>293</v>
      </c>
      <c r="G147" s="3" t="s">
        <v>229</v>
      </c>
      <c r="H147" s="4">
        <v>150</v>
      </c>
      <c r="I147" s="4">
        <v>112</v>
      </c>
      <c r="J147" s="4">
        <f t="shared" si="6"/>
        <v>38</v>
      </c>
      <c r="K147" s="4">
        <v>75000</v>
      </c>
      <c r="L147" s="4">
        <f t="shared" si="7"/>
        <v>2850000</v>
      </c>
      <c r="M147" s="2" t="s">
        <v>30</v>
      </c>
      <c r="N147" s="3" t="str">
        <f t="shared" si="8"/>
        <v>Tersedia</v>
      </c>
      <c r="O147" s="2" t="s">
        <v>31</v>
      </c>
    </row>
    <row r="148" spans="1:15" x14ac:dyDescent="0.35">
      <c r="A148" s="5" t="s">
        <v>173</v>
      </c>
      <c r="B148" s="5" t="s">
        <v>16</v>
      </c>
      <c r="C148" s="5" t="s">
        <v>17</v>
      </c>
      <c r="D148" s="5" t="s">
        <v>18</v>
      </c>
      <c r="E148" s="5" t="s">
        <v>34</v>
      </c>
      <c r="F148" s="6" t="s">
        <v>49</v>
      </c>
      <c r="G148" s="6" t="s">
        <v>189</v>
      </c>
      <c r="H148" s="7">
        <v>20</v>
      </c>
      <c r="I148" s="7">
        <v>3</v>
      </c>
      <c r="J148" s="7">
        <f t="shared" si="6"/>
        <v>17</v>
      </c>
      <c r="K148" s="7">
        <v>45000</v>
      </c>
      <c r="L148" s="7">
        <f t="shared" si="7"/>
        <v>765000</v>
      </c>
      <c r="M148" s="5" t="s">
        <v>43</v>
      </c>
      <c r="N148" s="6" t="str">
        <f t="shared" si="8"/>
        <v>Tersedia</v>
      </c>
      <c r="O148" s="5" t="s">
        <v>59</v>
      </c>
    </row>
    <row r="149" spans="1:15" x14ac:dyDescent="0.35">
      <c r="A149" s="2" t="s">
        <v>256</v>
      </c>
      <c r="B149" s="2" t="s">
        <v>95</v>
      </c>
      <c r="C149" s="2" t="s">
        <v>62</v>
      </c>
      <c r="D149" s="2" t="s">
        <v>63</v>
      </c>
      <c r="E149" s="2" t="s">
        <v>101</v>
      </c>
      <c r="F149" s="3" t="s">
        <v>274</v>
      </c>
      <c r="G149" s="3" t="s">
        <v>269</v>
      </c>
      <c r="H149" s="4">
        <v>150</v>
      </c>
      <c r="I149" s="4">
        <v>25</v>
      </c>
      <c r="J149" s="4">
        <f t="shared" si="6"/>
        <v>125</v>
      </c>
      <c r="K149" s="4">
        <v>850000</v>
      </c>
      <c r="L149" s="4">
        <f t="shared" si="7"/>
        <v>106250000</v>
      </c>
      <c r="M149" s="2" t="s">
        <v>35</v>
      </c>
      <c r="N149" s="3" t="str">
        <f t="shared" si="8"/>
        <v>Tersedia</v>
      </c>
      <c r="O149" s="2" t="s">
        <v>31</v>
      </c>
    </row>
    <row r="150" spans="1:15" x14ac:dyDescent="0.35">
      <c r="A150" s="5" t="s">
        <v>260</v>
      </c>
      <c r="B150" s="5" t="s">
        <v>100</v>
      </c>
      <c r="C150" s="5" t="s">
        <v>81</v>
      </c>
      <c r="D150" s="5" t="s">
        <v>82</v>
      </c>
      <c r="E150" s="5" t="s">
        <v>64</v>
      </c>
      <c r="F150" s="6" t="s">
        <v>307</v>
      </c>
      <c r="G150" s="6"/>
      <c r="H150" s="7">
        <v>100</v>
      </c>
      <c r="I150" s="7">
        <v>0</v>
      </c>
      <c r="J150" s="7">
        <f t="shared" si="6"/>
        <v>100</v>
      </c>
      <c r="K150" s="7">
        <v>220000</v>
      </c>
      <c r="L150" s="7">
        <f t="shared" si="7"/>
        <v>22000000</v>
      </c>
      <c r="M150" s="5" t="s">
        <v>30</v>
      </c>
      <c r="N150" s="6" t="str">
        <f t="shared" si="8"/>
        <v>Tersedia</v>
      </c>
      <c r="O150" s="5" t="s">
        <v>36</v>
      </c>
    </row>
    <row r="151" spans="1:15" x14ac:dyDescent="0.35">
      <c r="A151" s="2" t="s">
        <v>104</v>
      </c>
      <c r="B151" s="2" t="s">
        <v>117</v>
      </c>
      <c r="C151" s="2" t="s">
        <v>81</v>
      </c>
      <c r="D151" s="2" t="s">
        <v>82</v>
      </c>
      <c r="E151" s="2" t="s">
        <v>47</v>
      </c>
      <c r="F151" s="3" t="s">
        <v>380</v>
      </c>
      <c r="G151" s="3" t="s">
        <v>381</v>
      </c>
      <c r="H151" s="4">
        <v>10</v>
      </c>
      <c r="I151" s="4">
        <v>8</v>
      </c>
      <c r="J151" s="4">
        <f t="shared" si="6"/>
        <v>2</v>
      </c>
      <c r="K151" s="4">
        <v>310000</v>
      </c>
      <c r="L151" s="4">
        <f t="shared" si="7"/>
        <v>620000</v>
      </c>
      <c r="M151" s="2" t="s">
        <v>85</v>
      </c>
      <c r="N151" s="3" t="str">
        <f t="shared" si="8"/>
        <v>Menipis</v>
      </c>
      <c r="O151" s="2" t="s">
        <v>70</v>
      </c>
    </row>
    <row r="152" spans="1:15" x14ac:dyDescent="0.35">
      <c r="A152" s="5" t="s">
        <v>382</v>
      </c>
      <c r="B152" s="5" t="s">
        <v>127</v>
      </c>
      <c r="C152" s="5" t="s">
        <v>39</v>
      </c>
      <c r="D152" s="5" t="s">
        <v>40</v>
      </c>
      <c r="E152" s="5" t="s">
        <v>101</v>
      </c>
      <c r="F152" s="6" t="s">
        <v>238</v>
      </c>
      <c r="G152" s="6" t="s">
        <v>383</v>
      </c>
      <c r="H152" s="7">
        <v>2</v>
      </c>
      <c r="I152" s="7">
        <v>2</v>
      </c>
      <c r="J152" s="7">
        <f t="shared" si="6"/>
        <v>0</v>
      </c>
      <c r="K152" s="7">
        <v>1550000</v>
      </c>
      <c r="L152" s="7">
        <f t="shared" si="7"/>
        <v>0</v>
      </c>
      <c r="M152" s="5" t="s">
        <v>22</v>
      </c>
      <c r="N152" s="6" t="str">
        <f t="shared" si="8"/>
        <v>Habis</v>
      </c>
      <c r="O152" s="5" t="s">
        <v>70</v>
      </c>
    </row>
    <row r="153" spans="1:15" x14ac:dyDescent="0.35">
      <c r="A153" s="2" t="s">
        <v>384</v>
      </c>
      <c r="B153" s="2" t="s">
        <v>165</v>
      </c>
      <c r="C153" s="2" t="s">
        <v>17</v>
      </c>
      <c r="D153" s="2" t="s">
        <v>18</v>
      </c>
      <c r="E153" s="2" t="s">
        <v>47</v>
      </c>
      <c r="F153" s="3" t="s">
        <v>333</v>
      </c>
      <c r="G153" s="3"/>
      <c r="H153" s="4">
        <v>50</v>
      </c>
      <c r="I153" s="4">
        <v>0</v>
      </c>
      <c r="J153" s="4">
        <f t="shared" si="6"/>
        <v>50</v>
      </c>
      <c r="K153" s="4">
        <v>35000</v>
      </c>
      <c r="L153" s="4">
        <f t="shared" si="7"/>
        <v>1750000</v>
      </c>
      <c r="M153" s="2" t="s">
        <v>30</v>
      </c>
      <c r="N153" s="3" t="str">
        <f t="shared" si="8"/>
        <v>Tersedia</v>
      </c>
      <c r="O153" s="2" t="s">
        <v>76</v>
      </c>
    </row>
    <row r="154" spans="1:15" x14ac:dyDescent="0.35">
      <c r="A154" s="5" t="s">
        <v>385</v>
      </c>
      <c r="B154" s="5" t="s">
        <v>206</v>
      </c>
      <c r="C154" s="5" t="s">
        <v>73</v>
      </c>
      <c r="D154" s="5" t="s">
        <v>74</v>
      </c>
      <c r="E154" s="5" t="s">
        <v>96</v>
      </c>
      <c r="F154" s="6" t="s">
        <v>42</v>
      </c>
      <c r="G154" s="6"/>
      <c r="H154" s="7">
        <v>20</v>
      </c>
      <c r="I154" s="7">
        <v>0</v>
      </c>
      <c r="J154" s="7">
        <f t="shared" si="6"/>
        <v>20</v>
      </c>
      <c r="K154" s="7">
        <v>45000</v>
      </c>
      <c r="L154" s="7">
        <f t="shared" si="7"/>
        <v>900000</v>
      </c>
      <c r="M154" s="5" t="s">
        <v>85</v>
      </c>
      <c r="N154" s="6" t="str">
        <f t="shared" si="8"/>
        <v>Tersedia</v>
      </c>
      <c r="O154" s="5" t="s">
        <v>44</v>
      </c>
    </row>
    <row r="155" spans="1:15" x14ac:dyDescent="0.35">
      <c r="A155" s="2" t="s">
        <v>386</v>
      </c>
      <c r="B155" s="2" t="s">
        <v>61</v>
      </c>
      <c r="C155" s="2" t="s">
        <v>62</v>
      </c>
      <c r="D155" s="2" t="s">
        <v>63</v>
      </c>
      <c r="E155" s="2" t="s">
        <v>47</v>
      </c>
      <c r="F155" s="3" t="s">
        <v>387</v>
      </c>
      <c r="G155" s="3" t="s">
        <v>388</v>
      </c>
      <c r="H155" s="4">
        <v>50</v>
      </c>
      <c r="I155" s="4">
        <v>11</v>
      </c>
      <c r="J155" s="4">
        <f t="shared" si="6"/>
        <v>39</v>
      </c>
      <c r="K155" s="4">
        <v>350000</v>
      </c>
      <c r="L155" s="4">
        <f t="shared" si="7"/>
        <v>13650000</v>
      </c>
      <c r="M155" s="2" t="s">
        <v>35</v>
      </c>
      <c r="N155" s="3" t="str">
        <f t="shared" si="8"/>
        <v>Tersedia</v>
      </c>
      <c r="O155" s="2" t="s">
        <v>76</v>
      </c>
    </row>
    <row r="156" spans="1:15" x14ac:dyDescent="0.35">
      <c r="A156" s="5" t="s">
        <v>389</v>
      </c>
      <c r="B156" s="5" t="s">
        <v>138</v>
      </c>
      <c r="C156" s="5" t="s">
        <v>62</v>
      </c>
      <c r="D156" s="5" t="s">
        <v>63</v>
      </c>
      <c r="E156" s="5" t="s">
        <v>68</v>
      </c>
      <c r="F156" s="6" t="s">
        <v>390</v>
      </c>
      <c r="G156" s="6" t="s">
        <v>57</v>
      </c>
      <c r="H156" s="7">
        <v>150</v>
      </c>
      <c r="I156" s="7">
        <v>79</v>
      </c>
      <c r="J156" s="7">
        <f t="shared" si="6"/>
        <v>71</v>
      </c>
      <c r="K156" s="7">
        <v>450000</v>
      </c>
      <c r="L156" s="7">
        <f t="shared" si="7"/>
        <v>31950000</v>
      </c>
      <c r="M156" s="5" t="s">
        <v>30</v>
      </c>
      <c r="N156" s="6" t="str">
        <f t="shared" si="8"/>
        <v>Tersedia</v>
      </c>
      <c r="O156" s="5" t="s">
        <v>86</v>
      </c>
    </row>
    <row r="157" spans="1:15" x14ac:dyDescent="0.35">
      <c r="A157" s="2" t="s">
        <v>369</v>
      </c>
      <c r="B157" s="2" t="s">
        <v>67</v>
      </c>
      <c r="C157" s="2" t="s">
        <v>39</v>
      </c>
      <c r="D157" s="2" t="s">
        <v>40</v>
      </c>
      <c r="E157" s="2" t="s">
        <v>19</v>
      </c>
      <c r="F157" s="3" t="s">
        <v>191</v>
      </c>
      <c r="G157" s="3" t="s">
        <v>391</v>
      </c>
      <c r="H157" s="4">
        <v>5</v>
      </c>
      <c r="I157" s="4">
        <v>1</v>
      </c>
      <c r="J157" s="4">
        <f t="shared" si="6"/>
        <v>4</v>
      </c>
      <c r="K157" s="4">
        <v>3800000</v>
      </c>
      <c r="L157" s="4">
        <f t="shared" si="7"/>
        <v>15200000</v>
      </c>
      <c r="M157" s="2" t="s">
        <v>35</v>
      </c>
      <c r="N157" s="3" t="str">
        <f t="shared" si="8"/>
        <v>Menipis</v>
      </c>
      <c r="O157" s="2" t="s">
        <v>59</v>
      </c>
    </row>
    <row r="158" spans="1:15" x14ac:dyDescent="0.35">
      <c r="A158" s="5" t="s">
        <v>392</v>
      </c>
      <c r="B158" s="5" t="s">
        <v>51</v>
      </c>
      <c r="C158" s="5" t="s">
        <v>17</v>
      </c>
      <c r="D158" s="5" t="s">
        <v>18</v>
      </c>
      <c r="E158" s="5" t="s">
        <v>19</v>
      </c>
      <c r="F158" s="6" t="s">
        <v>106</v>
      </c>
      <c r="G158" s="6" t="s">
        <v>233</v>
      </c>
      <c r="H158" s="7">
        <v>20</v>
      </c>
      <c r="I158" s="7">
        <v>8</v>
      </c>
      <c r="J158" s="7">
        <f t="shared" si="6"/>
        <v>12</v>
      </c>
      <c r="K158" s="7">
        <v>150000</v>
      </c>
      <c r="L158" s="7">
        <f t="shared" si="7"/>
        <v>1800000</v>
      </c>
      <c r="M158" s="5" t="s">
        <v>43</v>
      </c>
      <c r="N158" s="6" t="str">
        <f t="shared" si="8"/>
        <v>Tersedia</v>
      </c>
      <c r="O158" s="5" t="s">
        <v>31</v>
      </c>
    </row>
    <row r="159" spans="1:15" x14ac:dyDescent="0.35">
      <c r="A159" s="2" t="s">
        <v>205</v>
      </c>
      <c r="B159" s="2" t="s">
        <v>120</v>
      </c>
      <c r="C159" s="2" t="s">
        <v>73</v>
      </c>
      <c r="D159" s="2" t="s">
        <v>74</v>
      </c>
      <c r="E159" s="2" t="s">
        <v>34</v>
      </c>
      <c r="F159" s="3" t="s">
        <v>326</v>
      </c>
      <c r="G159" s="3" t="s">
        <v>393</v>
      </c>
      <c r="H159" s="4">
        <v>10</v>
      </c>
      <c r="I159" s="4">
        <v>10</v>
      </c>
      <c r="J159" s="4">
        <f t="shared" si="6"/>
        <v>0</v>
      </c>
      <c r="K159" s="4">
        <v>75000</v>
      </c>
      <c r="L159" s="4">
        <f t="shared" si="7"/>
        <v>0</v>
      </c>
      <c r="M159" s="2" t="s">
        <v>85</v>
      </c>
      <c r="N159" s="3" t="str">
        <f t="shared" si="8"/>
        <v>Habis</v>
      </c>
      <c r="O159" s="2" t="s">
        <v>23</v>
      </c>
    </row>
    <row r="160" spans="1:15" x14ac:dyDescent="0.35">
      <c r="A160" s="5" t="s">
        <v>394</v>
      </c>
      <c r="B160" s="5" t="s">
        <v>117</v>
      </c>
      <c r="C160" s="5" t="s">
        <v>81</v>
      </c>
      <c r="D160" s="5" t="s">
        <v>82</v>
      </c>
      <c r="E160" s="5" t="s">
        <v>151</v>
      </c>
      <c r="F160" s="6" t="s">
        <v>395</v>
      </c>
      <c r="G160" s="6" t="s">
        <v>396</v>
      </c>
      <c r="H160" s="7">
        <v>10</v>
      </c>
      <c r="I160" s="7">
        <v>7</v>
      </c>
      <c r="J160" s="7">
        <f t="shared" si="6"/>
        <v>3</v>
      </c>
      <c r="K160" s="7">
        <v>310000</v>
      </c>
      <c r="L160" s="7">
        <f t="shared" si="7"/>
        <v>930000</v>
      </c>
      <c r="M160" s="5" t="s">
        <v>43</v>
      </c>
      <c r="N160" s="6" t="str">
        <f t="shared" si="8"/>
        <v>Menipis</v>
      </c>
      <c r="O160" s="5" t="s">
        <v>76</v>
      </c>
    </row>
    <row r="161" spans="1:15" x14ac:dyDescent="0.35">
      <c r="A161" s="2" t="s">
        <v>306</v>
      </c>
      <c r="B161" s="2" t="s">
        <v>72</v>
      </c>
      <c r="C161" s="2" t="s">
        <v>73</v>
      </c>
      <c r="D161" s="2" t="s">
        <v>74</v>
      </c>
      <c r="E161" s="2" t="s">
        <v>34</v>
      </c>
      <c r="F161" s="3" t="s">
        <v>294</v>
      </c>
      <c r="G161" s="3" t="s">
        <v>365</v>
      </c>
      <c r="H161" s="4">
        <v>150</v>
      </c>
      <c r="I161" s="4">
        <v>132</v>
      </c>
      <c r="J161" s="4">
        <f t="shared" si="6"/>
        <v>18</v>
      </c>
      <c r="K161" s="4">
        <v>240000</v>
      </c>
      <c r="L161" s="4">
        <f t="shared" si="7"/>
        <v>4320000</v>
      </c>
      <c r="M161" s="2" t="s">
        <v>22</v>
      </c>
      <c r="N161" s="3" t="str">
        <f t="shared" si="8"/>
        <v>Tersedia</v>
      </c>
      <c r="O161" s="2" t="s">
        <v>36</v>
      </c>
    </row>
    <row r="162" spans="1:15" x14ac:dyDescent="0.35">
      <c r="A162" s="5" t="s">
        <v>295</v>
      </c>
      <c r="B162" s="5" t="s">
        <v>127</v>
      </c>
      <c r="C162" s="5" t="s">
        <v>39</v>
      </c>
      <c r="D162" s="5" t="s">
        <v>40</v>
      </c>
      <c r="E162" s="5" t="s">
        <v>34</v>
      </c>
      <c r="F162" s="6" t="s">
        <v>397</v>
      </c>
      <c r="G162" s="6"/>
      <c r="H162" s="7">
        <v>2</v>
      </c>
      <c r="I162" s="7">
        <v>0</v>
      </c>
      <c r="J162" s="7">
        <f t="shared" si="6"/>
        <v>2</v>
      </c>
      <c r="K162" s="7">
        <v>1550000</v>
      </c>
      <c r="L162" s="7">
        <f t="shared" si="7"/>
        <v>3100000</v>
      </c>
      <c r="M162" s="5" t="s">
        <v>22</v>
      </c>
      <c r="N162" s="6" t="str">
        <f t="shared" si="8"/>
        <v>Menipis</v>
      </c>
      <c r="O162" s="5" t="s">
        <v>76</v>
      </c>
    </row>
    <row r="163" spans="1:15" x14ac:dyDescent="0.35">
      <c r="A163" s="2" t="s">
        <v>398</v>
      </c>
      <c r="B163" s="2" t="s">
        <v>33</v>
      </c>
      <c r="C163" s="2" t="s">
        <v>26</v>
      </c>
      <c r="D163" s="2" t="s">
        <v>27</v>
      </c>
      <c r="E163" s="2" t="s">
        <v>151</v>
      </c>
      <c r="F163" s="3" t="s">
        <v>49</v>
      </c>
      <c r="G163" s="3" t="s">
        <v>399</v>
      </c>
      <c r="H163" s="4">
        <v>200</v>
      </c>
      <c r="I163" s="4">
        <v>180</v>
      </c>
      <c r="J163" s="4">
        <f t="shared" si="6"/>
        <v>20</v>
      </c>
      <c r="K163" s="4">
        <v>12000</v>
      </c>
      <c r="L163" s="4">
        <f t="shared" si="7"/>
        <v>240000</v>
      </c>
      <c r="M163" s="2" t="s">
        <v>35</v>
      </c>
      <c r="N163" s="3" t="str">
        <f t="shared" si="8"/>
        <v>Tersedia</v>
      </c>
      <c r="O163" s="2" t="s">
        <v>36</v>
      </c>
    </row>
    <row r="164" spans="1:15" x14ac:dyDescent="0.35">
      <c r="A164" s="5" t="s">
        <v>400</v>
      </c>
      <c r="B164" s="5" t="s">
        <v>51</v>
      </c>
      <c r="C164" s="5" t="s">
        <v>17</v>
      </c>
      <c r="D164" s="5" t="s">
        <v>18</v>
      </c>
      <c r="E164" s="5" t="s">
        <v>56</v>
      </c>
      <c r="F164" s="6" t="s">
        <v>83</v>
      </c>
      <c r="G164" s="6" t="s">
        <v>401</v>
      </c>
      <c r="H164" s="7">
        <v>200</v>
      </c>
      <c r="I164" s="7">
        <v>109</v>
      </c>
      <c r="J164" s="7">
        <f t="shared" si="6"/>
        <v>91</v>
      </c>
      <c r="K164" s="7">
        <v>150000</v>
      </c>
      <c r="L164" s="7">
        <f t="shared" si="7"/>
        <v>13650000</v>
      </c>
      <c r="M164" s="5" t="s">
        <v>35</v>
      </c>
      <c r="N164" s="6" t="str">
        <f t="shared" si="8"/>
        <v>Tersedia</v>
      </c>
      <c r="O164" s="5" t="s">
        <v>70</v>
      </c>
    </row>
    <row r="165" spans="1:15" x14ac:dyDescent="0.35">
      <c r="A165" s="2" t="s">
        <v>402</v>
      </c>
      <c r="B165" s="2" t="s">
        <v>165</v>
      </c>
      <c r="C165" s="2" t="s">
        <v>17</v>
      </c>
      <c r="D165" s="2" t="s">
        <v>18</v>
      </c>
      <c r="E165" s="2" t="s">
        <v>19</v>
      </c>
      <c r="F165" s="3" t="s">
        <v>403</v>
      </c>
      <c r="G165" s="3"/>
      <c r="H165" s="4">
        <v>20</v>
      </c>
      <c r="I165" s="4">
        <v>0</v>
      </c>
      <c r="J165" s="4">
        <f t="shared" si="6"/>
        <v>20</v>
      </c>
      <c r="K165" s="4">
        <v>35000</v>
      </c>
      <c r="L165" s="4">
        <f t="shared" si="7"/>
        <v>700000</v>
      </c>
      <c r="M165" s="2" t="s">
        <v>85</v>
      </c>
      <c r="N165" s="3" t="str">
        <f t="shared" si="8"/>
        <v>Tersedia</v>
      </c>
      <c r="O165" s="2" t="s">
        <v>86</v>
      </c>
    </row>
    <row r="166" spans="1:15" x14ac:dyDescent="0.35">
      <c r="A166" s="5" t="s">
        <v>221</v>
      </c>
      <c r="B166" s="5" t="s">
        <v>206</v>
      </c>
      <c r="C166" s="5" t="s">
        <v>73</v>
      </c>
      <c r="D166" s="5" t="s">
        <v>74</v>
      </c>
      <c r="E166" s="5" t="s">
        <v>151</v>
      </c>
      <c r="F166" s="6" t="s">
        <v>404</v>
      </c>
      <c r="G166" s="6" t="s">
        <v>405</v>
      </c>
      <c r="H166" s="7">
        <v>10</v>
      </c>
      <c r="I166" s="7">
        <v>7</v>
      </c>
      <c r="J166" s="7">
        <f t="shared" si="6"/>
        <v>3</v>
      </c>
      <c r="K166" s="7">
        <v>45000</v>
      </c>
      <c r="L166" s="7">
        <f t="shared" si="7"/>
        <v>135000</v>
      </c>
      <c r="M166" s="5" t="s">
        <v>22</v>
      </c>
      <c r="N166" s="6" t="str">
        <f t="shared" si="8"/>
        <v>Menipis</v>
      </c>
      <c r="O166" s="5" t="s">
        <v>23</v>
      </c>
    </row>
    <row r="167" spans="1:15" x14ac:dyDescent="0.35">
      <c r="A167" s="2" t="s">
        <v>246</v>
      </c>
      <c r="B167" s="2" t="s">
        <v>80</v>
      </c>
      <c r="C167" s="2" t="s">
        <v>81</v>
      </c>
      <c r="D167" s="2" t="s">
        <v>82</v>
      </c>
      <c r="E167" s="2" t="s">
        <v>151</v>
      </c>
      <c r="F167" s="3" t="s">
        <v>371</v>
      </c>
      <c r="G167" s="3" t="s">
        <v>276</v>
      </c>
      <c r="H167" s="4">
        <v>10</v>
      </c>
      <c r="I167" s="4">
        <v>3</v>
      </c>
      <c r="J167" s="4">
        <f t="shared" si="6"/>
        <v>7</v>
      </c>
      <c r="K167" s="4">
        <v>280000</v>
      </c>
      <c r="L167" s="4">
        <f t="shared" si="7"/>
        <v>1960000</v>
      </c>
      <c r="M167" s="2" t="s">
        <v>30</v>
      </c>
      <c r="N167" s="3" t="str">
        <f t="shared" si="8"/>
        <v>Tersedia</v>
      </c>
      <c r="O167" s="2" t="s">
        <v>76</v>
      </c>
    </row>
    <row r="168" spans="1:15" x14ac:dyDescent="0.35">
      <c r="A168" s="5" t="s">
        <v>406</v>
      </c>
      <c r="B168" s="5" t="s">
        <v>88</v>
      </c>
      <c r="C168" s="5" t="s">
        <v>73</v>
      </c>
      <c r="D168" s="5" t="s">
        <v>74</v>
      </c>
      <c r="E168" s="5" t="s">
        <v>56</v>
      </c>
      <c r="F168" s="6" t="s">
        <v>407</v>
      </c>
      <c r="G168" s="6" t="s">
        <v>408</v>
      </c>
      <c r="H168" s="7">
        <v>200</v>
      </c>
      <c r="I168" s="7">
        <v>154</v>
      </c>
      <c r="J168" s="7">
        <f t="shared" si="6"/>
        <v>46</v>
      </c>
      <c r="K168" s="7">
        <v>650000</v>
      </c>
      <c r="L168" s="7">
        <f t="shared" si="7"/>
        <v>29900000</v>
      </c>
      <c r="M168" s="5" t="s">
        <v>30</v>
      </c>
      <c r="N168" s="6" t="str">
        <f t="shared" si="8"/>
        <v>Tersedia</v>
      </c>
      <c r="O168" s="5" t="s">
        <v>36</v>
      </c>
    </row>
    <row r="169" spans="1:15" x14ac:dyDescent="0.35">
      <c r="A169" s="2" t="s">
        <v>409</v>
      </c>
      <c r="B169" s="2" t="s">
        <v>51</v>
      </c>
      <c r="C169" s="2" t="s">
        <v>17</v>
      </c>
      <c r="D169" s="2" t="s">
        <v>18</v>
      </c>
      <c r="E169" s="2" t="s">
        <v>68</v>
      </c>
      <c r="F169" s="3" t="s">
        <v>146</v>
      </c>
      <c r="G169" s="3" t="s">
        <v>269</v>
      </c>
      <c r="H169" s="4">
        <v>50</v>
      </c>
      <c r="I169" s="4">
        <v>40</v>
      </c>
      <c r="J169" s="4">
        <f t="shared" si="6"/>
        <v>10</v>
      </c>
      <c r="K169" s="4">
        <v>150000</v>
      </c>
      <c r="L169" s="4">
        <f t="shared" si="7"/>
        <v>1500000</v>
      </c>
      <c r="M169" s="2" t="s">
        <v>85</v>
      </c>
      <c r="N169" s="3" t="str">
        <f t="shared" si="8"/>
        <v>Tersedia</v>
      </c>
      <c r="O169" s="2" t="s">
        <v>36</v>
      </c>
    </row>
    <row r="170" spans="1:15" x14ac:dyDescent="0.35">
      <c r="A170" s="5" t="s">
        <v>410</v>
      </c>
      <c r="B170" s="5" t="s">
        <v>38</v>
      </c>
      <c r="C170" s="5" t="s">
        <v>39</v>
      </c>
      <c r="D170" s="5" t="s">
        <v>40</v>
      </c>
      <c r="E170" s="5" t="s">
        <v>47</v>
      </c>
      <c r="F170" s="6" t="s">
        <v>97</v>
      </c>
      <c r="G170" s="6" t="s">
        <v>411</v>
      </c>
      <c r="H170" s="7">
        <v>2</v>
      </c>
      <c r="I170" s="7">
        <v>1</v>
      </c>
      <c r="J170" s="7">
        <f t="shared" si="6"/>
        <v>1</v>
      </c>
      <c r="K170" s="7">
        <v>4500000</v>
      </c>
      <c r="L170" s="7">
        <f t="shared" si="7"/>
        <v>4500000</v>
      </c>
      <c r="M170" s="5" t="s">
        <v>22</v>
      </c>
      <c r="N170" s="6" t="str">
        <f t="shared" si="8"/>
        <v>Menipis</v>
      </c>
      <c r="O170" s="5" t="s">
        <v>59</v>
      </c>
    </row>
    <row r="171" spans="1:15" x14ac:dyDescent="0.35">
      <c r="A171" s="2" t="s">
        <v>412</v>
      </c>
      <c r="B171" s="2" t="s">
        <v>144</v>
      </c>
      <c r="C171" s="2" t="s">
        <v>39</v>
      </c>
      <c r="D171" s="2" t="s">
        <v>40</v>
      </c>
      <c r="E171" s="2" t="s">
        <v>52</v>
      </c>
      <c r="F171" s="3" t="s">
        <v>413</v>
      </c>
      <c r="G171" s="3"/>
      <c r="H171" s="4">
        <v>10</v>
      </c>
      <c r="I171" s="4">
        <v>0</v>
      </c>
      <c r="J171" s="4">
        <f t="shared" si="6"/>
        <v>10</v>
      </c>
      <c r="K171" s="4">
        <v>2450000</v>
      </c>
      <c r="L171" s="4">
        <f t="shared" si="7"/>
        <v>24500000</v>
      </c>
      <c r="M171" s="2" t="s">
        <v>43</v>
      </c>
      <c r="N171" s="3" t="str">
        <f t="shared" si="8"/>
        <v>Tersedia</v>
      </c>
      <c r="O171" s="2" t="s">
        <v>76</v>
      </c>
    </row>
    <row r="172" spans="1:15" x14ac:dyDescent="0.35">
      <c r="A172" s="5" t="s">
        <v>260</v>
      </c>
      <c r="B172" s="5" t="s">
        <v>80</v>
      </c>
      <c r="C172" s="5" t="s">
        <v>81</v>
      </c>
      <c r="D172" s="5" t="s">
        <v>82</v>
      </c>
      <c r="E172" s="5" t="s">
        <v>52</v>
      </c>
      <c r="F172" s="6" t="s">
        <v>360</v>
      </c>
      <c r="G172" s="6" t="s">
        <v>222</v>
      </c>
      <c r="H172" s="7">
        <v>100</v>
      </c>
      <c r="I172" s="7">
        <v>52</v>
      </c>
      <c r="J172" s="7">
        <f t="shared" si="6"/>
        <v>48</v>
      </c>
      <c r="K172" s="7">
        <v>280000</v>
      </c>
      <c r="L172" s="7">
        <f t="shared" si="7"/>
        <v>13440000</v>
      </c>
      <c r="M172" s="5" t="s">
        <v>22</v>
      </c>
      <c r="N172" s="6" t="str">
        <f t="shared" si="8"/>
        <v>Tersedia</v>
      </c>
      <c r="O172" s="5" t="s">
        <v>23</v>
      </c>
    </row>
    <row r="173" spans="1:15" x14ac:dyDescent="0.35">
      <c r="A173" s="2" t="s">
        <v>192</v>
      </c>
      <c r="B173" s="2" t="s">
        <v>100</v>
      </c>
      <c r="C173" s="2" t="s">
        <v>81</v>
      </c>
      <c r="D173" s="2" t="s">
        <v>82</v>
      </c>
      <c r="E173" s="2" t="s">
        <v>19</v>
      </c>
      <c r="F173" s="3" t="s">
        <v>414</v>
      </c>
      <c r="G173" s="3" t="s">
        <v>227</v>
      </c>
      <c r="H173" s="4">
        <v>150</v>
      </c>
      <c r="I173" s="4">
        <v>101</v>
      </c>
      <c r="J173" s="4">
        <f t="shared" si="6"/>
        <v>49</v>
      </c>
      <c r="K173" s="4">
        <v>220000</v>
      </c>
      <c r="L173" s="4">
        <f t="shared" si="7"/>
        <v>10780000</v>
      </c>
      <c r="M173" s="2" t="s">
        <v>43</v>
      </c>
      <c r="N173" s="3" t="str">
        <f t="shared" si="8"/>
        <v>Tersedia</v>
      </c>
      <c r="O173" s="2" t="s">
        <v>86</v>
      </c>
    </row>
    <row r="174" spans="1:15" x14ac:dyDescent="0.35">
      <c r="A174" s="5" t="s">
        <v>415</v>
      </c>
      <c r="B174" s="5" t="s">
        <v>61</v>
      </c>
      <c r="C174" s="5" t="s">
        <v>62</v>
      </c>
      <c r="D174" s="5" t="s">
        <v>63</v>
      </c>
      <c r="E174" s="5" t="s">
        <v>56</v>
      </c>
      <c r="F174" s="6" t="s">
        <v>416</v>
      </c>
      <c r="G174" s="6"/>
      <c r="H174" s="7">
        <v>150</v>
      </c>
      <c r="I174" s="7">
        <v>0</v>
      </c>
      <c r="J174" s="7">
        <f t="shared" si="6"/>
        <v>150</v>
      </c>
      <c r="K174" s="7">
        <v>350000</v>
      </c>
      <c r="L174" s="7">
        <f t="shared" si="7"/>
        <v>52500000</v>
      </c>
      <c r="M174" s="5" t="s">
        <v>43</v>
      </c>
      <c r="N174" s="6" t="str">
        <f t="shared" si="8"/>
        <v>Tersedia</v>
      </c>
      <c r="O174" s="5" t="s">
        <v>23</v>
      </c>
    </row>
    <row r="175" spans="1:15" x14ac:dyDescent="0.35">
      <c r="A175" s="2" t="s">
        <v>417</v>
      </c>
      <c r="B175" s="2" t="s">
        <v>123</v>
      </c>
      <c r="C175" s="2" t="s">
        <v>81</v>
      </c>
      <c r="D175" s="2" t="s">
        <v>82</v>
      </c>
      <c r="E175" s="2" t="s">
        <v>34</v>
      </c>
      <c r="F175" s="3" t="s">
        <v>388</v>
      </c>
      <c r="G175" s="3" t="s">
        <v>418</v>
      </c>
      <c r="H175" s="4">
        <v>200</v>
      </c>
      <c r="I175" s="4">
        <v>154</v>
      </c>
      <c r="J175" s="4">
        <f t="shared" si="6"/>
        <v>46</v>
      </c>
      <c r="K175" s="4">
        <v>1750000</v>
      </c>
      <c r="L175" s="4">
        <f t="shared" si="7"/>
        <v>80500000</v>
      </c>
      <c r="M175" s="2" t="s">
        <v>43</v>
      </c>
      <c r="N175" s="3" t="str">
        <f t="shared" si="8"/>
        <v>Tersedia</v>
      </c>
      <c r="O175" s="2" t="s">
        <v>70</v>
      </c>
    </row>
    <row r="176" spans="1:15" x14ac:dyDescent="0.35">
      <c r="A176" s="5" t="s">
        <v>419</v>
      </c>
      <c r="B176" s="5" t="s">
        <v>61</v>
      </c>
      <c r="C176" s="5" t="s">
        <v>62</v>
      </c>
      <c r="D176" s="5" t="s">
        <v>63</v>
      </c>
      <c r="E176" s="5" t="s">
        <v>34</v>
      </c>
      <c r="F176" s="6" t="s">
        <v>170</v>
      </c>
      <c r="G176" s="6" t="s">
        <v>171</v>
      </c>
      <c r="H176" s="7">
        <v>100</v>
      </c>
      <c r="I176" s="7">
        <v>6</v>
      </c>
      <c r="J176" s="7">
        <f t="shared" si="6"/>
        <v>94</v>
      </c>
      <c r="K176" s="7">
        <v>350000</v>
      </c>
      <c r="L176" s="7">
        <f t="shared" si="7"/>
        <v>32900000</v>
      </c>
      <c r="M176" s="5" t="s">
        <v>43</v>
      </c>
      <c r="N176" s="6" t="str">
        <f t="shared" si="8"/>
        <v>Tersedia</v>
      </c>
      <c r="O176" s="5" t="s">
        <v>31</v>
      </c>
    </row>
    <row r="177" spans="1:15" x14ac:dyDescent="0.35">
      <c r="A177" s="2" t="s">
        <v>420</v>
      </c>
      <c r="B177" s="2" t="s">
        <v>16</v>
      </c>
      <c r="C177" s="2" t="s">
        <v>17</v>
      </c>
      <c r="D177" s="2" t="s">
        <v>18</v>
      </c>
      <c r="E177" s="2" t="s">
        <v>52</v>
      </c>
      <c r="F177" s="3" t="s">
        <v>197</v>
      </c>
      <c r="G177" s="3" t="s">
        <v>20</v>
      </c>
      <c r="H177" s="4">
        <v>20</v>
      </c>
      <c r="I177" s="4">
        <v>10</v>
      </c>
      <c r="J177" s="4">
        <f t="shared" si="6"/>
        <v>10</v>
      </c>
      <c r="K177" s="4">
        <v>45000</v>
      </c>
      <c r="L177" s="4">
        <f t="shared" si="7"/>
        <v>450000</v>
      </c>
      <c r="M177" s="2" t="s">
        <v>43</v>
      </c>
      <c r="N177" s="3" t="str">
        <f t="shared" si="8"/>
        <v>Tersedia</v>
      </c>
      <c r="O177" s="2" t="s">
        <v>44</v>
      </c>
    </row>
    <row r="178" spans="1:15" x14ac:dyDescent="0.35">
      <c r="A178" s="5" t="s">
        <v>421</v>
      </c>
      <c r="B178" s="5" t="s">
        <v>127</v>
      </c>
      <c r="C178" s="5" t="s">
        <v>39</v>
      </c>
      <c r="D178" s="5" t="s">
        <v>40</v>
      </c>
      <c r="E178" s="5" t="s">
        <v>52</v>
      </c>
      <c r="F178" s="6" t="s">
        <v>383</v>
      </c>
      <c r="G178" s="6" t="s">
        <v>422</v>
      </c>
      <c r="H178" s="7">
        <v>2</v>
      </c>
      <c r="I178" s="7">
        <v>1</v>
      </c>
      <c r="J178" s="7">
        <f t="shared" si="6"/>
        <v>1</v>
      </c>
      <c r="K178" s="7">
        <v>1550000</v>
      </c>
      <c r="L178" s="7">
        <f t="shared" si="7"/>
        <v>1550000</v>
      </c>
      <c r="M178" s="5" t="s">
        <v>30</v>
      </c>
      <c r="N178" s="6" t="str">
        <f t="shared" si="8"/>
        <v>Menipis</v>
      </c>
      <c r="O178" s="5" t="s">
        <v>86</v>
      </c>
    </row>
    <row r="179" spans="1:15" x14ac:dyDescent="0.35">
      <c r="A179" s="2" t="s">
        <v>423</v>
      </c>
      <c r="B179" s="2" t="s">
        <v>95</v>
      </c>
      <c r="C179" s="2" t="s">
        <v>62</v>
      </c>
      <c r="D179" s="2" t="s">
        <v>63</v>
      </c>
      <c r="E179" s="2" t="s">
        <v>64</v>
      </c>
      <c r="F179" s="3" t="s">
        <v>48</v>
      </c>
      <c r="G179" s="3" t="s">
        <v>424</v>
      </c>
      <c r="H179" s="4">
        <v>100</v>
      </c>
      <c r="I179" s="4">
        <v>88</v>
      </c>
      <c r="J179" s="4">
        <f t="shared" si="6"/>
        <v>12</v>
      </c>
      <c r="K179" s="4">
        <v>850000</v>
      </c>
      <c r="L179" s="4">
        <f t="shared" si="7"/>
        <v>10200000</v>
      </c>
      <c r="M179" s="2" t="s">
        <v>85</v>
      </c>
      <c r="N179" s="3" t="str">
        <f t="shared" si="8"/>
        <v>Tersedia</v>
      </c>
      <c r="O179" s="2" t="s">
        <v>59</v>
      </c>
    </row>
    <row r="180" spans="1:15" x14ac:dyDescent="0.35">
      <c r="A180" s="5" t="s">
        <v>284</v>
      </c>
      <c r="B180" s="5" t="s">
        <v>33</v>
      </c>
      <c r="C180" s="5" t="s">
        <v>26</v>
      </c>
      <c r="D180" s="5" t="s">
        <v>27</v>
      </c>
      <c r="E180" s="5" t="s">
        <v>101</v>
      </c>
      <c r="F180" s="6" t="s">
        <v>425</v>
      </c>
      <c r="G180" s="6"/>
      <c r="H180" s="7">
        <v>10</v>
      </c>
      <c r="I180" s="7">
        <v>0</v>
      </c>
      <c r="J180" s="7">
        <f t="shared" si="6"/>
        <v>10</v>
      </c>
      <c r="K180" s="7">
        <v>12000</v>
      </c>
      <c r="L180" s="7">
        <f t="shared" si="7"/>
        <v>120000</v>
      </c>
      <c r="M180" s="5" t="s">
        <v>85</v>
      </c>
      <c r="N180" s="6" t="str">
        <f t="shared" si="8"/>
        <v>Tersedia</v>
      </c>
      <c r="O180" s="5" t="s">
        <v>70</v>
      </c>
    </row>
    <row r="181" spans="1:15" x14ac:dyDescent="0.35">
      <c r="A181" s="2" t="s">
        <v>426</v>
      </c>
      <c r="B181" s="2" t="s">
        <v>206</v>
      </c>
      <c r="C181" s="2" t="s">
        <v>73</v>
      </c>
      <c r="D181" s="2" t="s">
        <v>74</v>
      </c>
      <c r="E181" s="2" t="s">
        <v>68</v>
      </c>
      <c r="F181" s="3" t="s">
        <v>427</v>
      </c>
      <c r="G181" s="3" t="s">
        <v>428</v>
      </c>
      <c r="H181" s="4">
        <v>10</v>
      </c>
      <c r="I181" s="4">
        <v>9</v>
      </c>
      <c r="J181" s="4">
        <f t="shared" si="6"/>
        <v>1</v>
      </c>
      <c r="K181" s="4">
        <v>45000</v>
      </c>
      <c r="L181" s="4">
        <f t="shared" si="7"/>
        <v>45000</v>
      </c>
      <c r="M181" s="2" t="s">
        <v>22</v>
      </c>
      <c r="N181" s="3" t="str">
        <f t="shared" si="8"/>
        <v>Menipis</v>
      </c>
      <c r="O181" s="2" t="s">
        <v>36</v>
      </c>
    </row>
    <row r="182" spans="1:15" x14ac:dyDescent="0.35">
      <c r="A182" s="5" t="s">
        <v>141</v>
      </c>
      <c r="B182" s="5" t="s">
        <v>114</v>
      </c>
      <c r="C182" s="5" t="s">
        <v>17</v>
      </c>
      <c r="D182" s="5" t="s">
        <v>18</v>
      </c>
      <c r="E182" s="5" t="s">
        <v>151</v>
      </c>
      <c r="F182" s="6" t="s">
        <v>102</v>
      </c>
      <c r="G182" s="6" t="s">
        <v>429</v>
      </c>
      <c r="H182" s="7">
        <v>50</v>
      </c>
      <c r="I182" s="7">
        <v>33</v>
      </c>
      <c r="J182" s="7">
        <f t="shared" si="6"/>
        <v>17</v>
      </c>
      <c r="K182" s="7">
        <v>85000</v>
      </c>
      <c r="L182" s="7">
        <f t="shared" si="7"/>
        <v>1445000</v>
      </c>
      <c r="M182" s="5" t="s">
        <v>22</v>
      </c>
      <c r="N182" s="6" t="str">
        <f t="shared" si="8"/>
        <v>Tersedia</v>
      </c>
      <c r="O182" s="5" t="s">
        <v>23</v>
      </c>
    </row>
    <row r="183" spans="1:15" x14ac:dyDescent="0.35">
      <c r="A183" s="2" t="s">
        <v>430</v>
      </c>
      <c r="B183" s="2" t="s">
        <v>120</v>
      </c>
      <c r="C183" s="2" t="s">
        <v>73</v>
      </c>
      <c r="D183" s="2" t="s">
        <v>74</v>
      </c>
      <c r="E183" s="2" t="s">
        <v>68</v>
      </c>
      <c r="F183" s="3" t="s">
        <v>289</v>
      </c>
      <c r="G183" s="3"/>
      <c r="H183" s="4">
        <v>10</v>
      </c>
      <c r="I183" s="4">
        <v>0</v>
      </c>
      <c r="J183" s="4">
        <f t="shared" si="6"/>
        <v>10</v>
      </c>
      <c r="K183" s="4">
        <v>75000</v>
      </c>
      <c r="L183" s="4">
        <f t="shared" si="7"/>
        <v>750000</v>
      </c>
      <c r="M183" s="2" t="s">
        <v>43</v>
      </c>
      <c r="N183" s="3" t="str">
        <f t="shared" si="8"/>
        <v>Tersedia</v>
      </c>
      <c r="O183" s="2" t="s">
        <v>23</v>
      </c>
    </row>
    <row r="184" spans="1:15" x14ac:dyDescent="0.35">
      <c r="A184" s="5" t="s">
        <v>431</v>
      </c>
      <c r="B184" s="5" t="s">
        <v>184</v>
      </c>
      <c r="C184" s="5" t="s">
        <v>62</v>
      </c>
      <c r="D184" s="5" t="s">
        <v>63</v>
      </c>
      <c r="E184" s="5" t="s">
        <v>47</v>
      </c>
      <c r="F184" s="6" t="s">
        <v>171</v>
      </c>
      <c r="G184" s="6" t="s">
        <v>432</v>
      </c>
      <c r="H184" s="7">
        <v>150</v>
      </c>
      <c r="I184" s="7">
        <v>18</v>
      </c>
      <c r="J184" s="7">
        <f t="shared" si="6"/>
        <v>132</v>
      </c>
      <c r="K184" s="7">
        <v>1250000</v>
      </c>
      <c r="L184" s="7">
        <f t="shared" si="7"/>
        <v>165000000</v>
      </c>
      <c r="M184" s="5" t="s">
        <v>43</v>
      </c>
      <c r="N184" s="6" t="str">
        <f t="shared" si="8"/>
        <v>Tersedia</v>
      </c>
      <c r="O184" s="5" t="s">
        <v>86</v>
      </c>
    </row>
    <row r="185" spans="1:15" x14ac:dyDescent="0.35">
      <c r="A185" s="2" t="s">
        <v>433</v>
      </c>
      <c r="B185" s="2" t="s">
        <v>117</v>
      </c>
      <c r="C185" s="2" t="s">
        <v>81</v>
      </c>
      <c r="D185" s="2" t="s">
        <v>82</v>
      </c>
      <c r="E185" s="2" t="s">
        <v>96</v>
      </c>
      <c r="F185" s="3" t="s">
        <v>273</v>
      </c>
      <c r="G185" s="3" t="s">
        <v>269</v>
      </c>
      <c r="H185" s="4">
        <v>20</v>
      </c>
      <c r="I185" s="4">
        <v>19</v>
      </c>
      <c r="J185" s="4">
        <f t="shared" si="6"/>
        <v>1</v>
      </c>
      <c r="K185" s="4">
        <v>310000</v>
      </c>
      <c r="L185" s="4">
        <f t="shared" si="7"/>
        <v>310000</v>
      </c>
      <c r="M185" s="2" t="s">
        <v>22</v>
      </c>
      <c r="N185" s="3" t="str">
        <f t="shared" si="8"/>
        <v>Menipis</v>
      </c>
      <c r="O185" s="2" t="s">
        <v>70</v>
      </c>
    </row>
    <row r="186" spans="1:15" x14ac:dyDescent="0.35">
      <c r="A186" s="5" t="s">
        <v>434</v>
      </c>
      <c r="B186" s="5" t="s">
        <v>33</v>
      </c>
      <c r="C186" s="5" t="s">
        <v>26</v>
      </c>
      <c r="D186" s="5" t="s">
        <v>27</v>
      </c>
      <c r="E186" s="5" t="s">
        <v>56</v>
      </c>
      <c r="F186" s="6" t="s">
        <v>193</v>
      </c>
      <c r="G186" s="6" t="s">
        <v>102</v>
      </c>
      <c r="H186" s="7">
        <v>10</v>
      </c>
      <c r="I186" s="7">
        <v>7</v>
      </c>
      <c r="J186" s="7">
        <f t="shared" si="6"/>
        <v>3</v>
      </c>
      <c r="K186" s="7">
        <v>12000</v>
      </c>
      <c r="L186" s="7">
        <f t="shared" si="7"/>
        <v>36000</v>
      </c>
      <c r="M186" s="5" t="s">
        <v>35</v>
      </c>
      <c r="N186" s="6" t="str">
        <f t="shared" si="8"/>
        <v>Menipis</v>
      </c>
      <c r="O186" s="5" t="s">
        <v>76</v>
      </c>
    </row>
    <row r="187" spans="1:15" x14ac:dyDescent="0.35">
      <c r="A187" s="2" t="s">
        <v>435</v>
      </c>
      <c r="B187" s="2" t="s">
        <v>46</v>
      </c>
      <c r="C187" s="2" t="s">
        <v>26</v>
      </c>
      <c r="D187" s="2" t="s">
        <v>27</v>
      </c>
      <c r="E187" s="2" t="s">
        <v>96</v>
      </c>
      <c r="F187" s="3" t="s">
        <v>248</v>
      </c>
      <c r="G187" s="3" t="s">
        <v>436</v>
      </c>
      <c r="H187" s="4">
        <v>150</v>
      </c>
      <c r="I187" s="4">
        <v>132</v>
      </c>
      <c r="J187" s="4">
        <f t="shared" si="6"/>
        <v>18</v>
      </c>
      <c r="K187" s="4">
        <v>35000</v>
      </c>
      <c r="L187" s="4">
        <f t="shared" si="7"/>
        <v>630000</v>
      </c>
      <c r="M187" s="2" t="s">
        <v>22</v>
      </c>
      <c r="N187" s="3" t="str">
        <f t="shared" si="8"/>
        <v>Tersedia</v>
      </c>
      <c r="O187" s="2" t="s">
        <v>59</v>
      </c>
    </row>
    <row r="188" spans="1:15" x14ac:dyDescent="0.35">
      <c r="A188" s="5" t="s">
        <v>437</v>
      </c>
      <c r="B188" s="5" t="s">
        <v>165</v>
      </c>
      <c r="C188" s="5" t="s">
        <v>17</v>
      </c>
      <c r="D188" s="5" t="s">
        <v>18</v>
      </c>
      <c r="E188" s="5" t="s">
        <v>19</v>
      </c>
      <c r="F188" s="6" t="s">
        <v>355</v>
      </c>
      <c r="G188" s="6" t="s">
        <v>317</v>
      </c>
      <c r="H188" s="7">
        <v>100</v>
      </c>
      <c r="I188" s="7">
        <v>29</v>
      </c>
      <c r="J188" s="7">
        <f t="shared" si="6"/>
        <v>71</v>
      </c>
      <c r="K188" s="7">
        <v>35000</v>
      </c>
      <c r="L188" s="7">
        <f t="shared" si="7"/>
        <v>2485000</v>
      </c>
      <c r="M188" s="5" t="s">
        <v>85</v>
      </c>
      <c r="N188" s="6" t="str">
        <f t="shared" si="8"/>
        <v>Tersedia</v>
      </c>
      <c r="O188" s="5" t="s">
        <v>44</v>
      </c>
    </row>
    <row r="189" spans="1:15" x14ac:dyDescent="0.35">
      <c r="A189" s="2" t="s">
        <v>438</v>
      </c>
      <c r="B189" s="2" t="s">
        <v>114</v>
      </c>
      <c r="C189" s="2" t="s">
        <v>17</v>
      </c>
      <c r="D189" s="2" t="s">
        <v>18</v>
      </c>
      <c r="E189" s="2" t="s">
        <v>68</v>
      </c>
      <c r="F189" s="3" t="s">
        <v>439</v>
      </c>
      <c r="G189" s="3" t="s">
        <v>440</v>
      </c>
      <c r="H189" s="4">
        <v>200</v>
      </c>
      <c r="I189" s="4">
        <v>145</v>
      </c>
      <c r="J189" s="4">
        <f t="shared" si="6"/>
        <v>55</v>
      </c>
      <c r="K189" s="4">
        <v>85000</v>
      </c>
      <c r="L189" s="4">
        <f t="shared" si="7"/>
        <v>4675000</v>
      </c>
      <c r="M189" s="2" t="s">
        <v>43</v>
      </c>
      <c r="N189" s="3" t="str">
        <f t="shared" si="8"/>
        <v>Tersedia</v>
      </c>
      <c r="O189" s="2" t="s">
        <v>36</v>
      </c>
    </row>
    <row r="190" spans="1:15" x14ac:dyDescent="0.35">
      <c r="A190" s="5" t="s">
        <v>441</v>
      </c>
      <c r="B190" s="5" t="s">
        <v>88</v>
      </c>
      <c r="C190" s="5" t="s">
        <v>73</v>
      </c>
      <c r="D190" s="5" t="s">
        <v>74</v>
      </c>
      <c r="E190" s="5" t="s">
        <v>101</v>
      </c>
      <c r="F190" s="6" t="s">
        <v>229</v>
      </c>
      <c r="G190" s="6" t="s">
        <v>172</v>
      </c>
      <c r="H190" s="7">
        <v>50</v>
      </c>
      <c r="I190" s="7">
        <v>28</v>
      </c>
      <c r="J190" s="7">
        <f t="shared" si="6"/>
        <v>22</v>
      </c>
      <c r="K190" s="7">
        <v>650000</v>
      </c>
      <c r="L190" s="7">
        <f t="shared" si="7"/>
        <v>14300000</v>
      </c>
      <c r="M190" s="5" t="s">
        <v>30</v>
      </c>
      <c r="N190" s="6" t="str">
        <f t="shared" si="8"/>
        <v>Tersedia</v>
      </c>
      <c r="O190" s="5" t="s">
        <v>86</v>
      </c>
    </row>
    <row r="191" spans="1:15" x14ac:dyDescent="0.35">
      <c r="A191" s="2" t="s">
        <v>442</v>
      </c>
      <c r="B191" s="2" t="s">
        <v>117</v>
      </c>
      <c r="C191" s="2" t="s">
        <v>81</v>
      </c>
      <c r="D191" s="2" t="s">
        <v>82</v>
      </c>
      <c r="E191" s="2" t="s">
        <v>34</v>
      </c>
      <c r="F191" s="3" t="s">
        <v>351</v>
      </c>
      <c r="G191" s="3" t="s">
        <v>78</v>
      </c>
      <c r="H191" s="4">
        <v>20</v>
      </c>
      <c r="I191" s="4">
        <v>14</v>
      </c>
      <c r="J191" s="4">
        <f t="shared" si="6"/>
        <v>6</v>
      </c>
      <c r="K191" s="4">
        <v>310000</v>
      </c>
      <c r="L191" s="4">
        <f t="shared" si="7"/>
        <v>1860000</v>
      </c>
      <c r="M191" s="2" t="s">
        <v>22</v>
      </c>
      <c r="N191" s="3" t="str">
        <f t="shared" si="8"/>
        <v>Tersedia</v>
      </c>
      <c r="O191" s="2" t="s">
        <v>23</v>
      </c>
    </row>
    <row r="192" spans="1:15" x14ac:dyDescent="0.35">
      <c r="A192" s="5" t="s">
        <v>443</v>
      </c>
      <c r="B192" s="5" t="s">
        <v>150</v>
      </c>
      <c r="C192" s="5" t="s">
        <v>81</v>
      </c>
      <c r="D192" s="5" t="s">
        <v>82</v>
      </c>
      <c r="E192" s="5" t="s">
        <v>19</v>
      </c>
      <c r="F192" s="6" t="s">
        <v>444</v>
      </c>
      <c r="G192" s="6" t="s">
        <v>152</v>
      </c>
      <c r="H192" s="7">
        <v>10</v>
      </c>
      <c r="I192" s="7">
        <v>7</v>
      </c>
      <c r="J192" s="7">
        <f t="shared" si="6"/>
        <v>3</v>
      </c>
      <c r="K192" s="7">
        <v>85000</v>
      </c>
      <c r="L192" s="7">
        <f t="shared" si="7"/>
        <v>255000</v>
      </c>
      <c r="M192" s="5" t="s">
        <v>35</v>
      </c>
      <c r="N192" s="6" t="str">
        <f t="shared" si="8"/>
        <v>Menipis</v>
      </c>
      <c r="O192" s="5" t="s">
        <v>31</v>
      </c>
    </row>
    <row r="193" spans="1:15" x14ac:dyDescent="0.35">
      <c r="A193" s="2" t="s">
        <v>445</v>
      </c>
      <c r="B193" s="2" t="s">
        <v>108</v>
      </c>
      <c r="C193" s="2" t="s">
        <v>62</v>
      </c>
      <c r="D193" s="2" t="s">
        <v>63</v>
      </c>
      <c r="E193" s="2" t="s">
        <v>64</v>
      </c>
      <c r="F193" s="3" t="s">
        <v>244</v>
      </c>
      <c r="G193" s="3"/>
      <c r="H193" s="4">
        <v>20</v>
      </c>
      <c r="I193" s="4">
        <v>0</v>
      </c>
      <c r="J193" s="4">
        <f t="shared" si="6"/>
        <v>20</v>
      </c>
      <c r="K193" s="4">
        <v>650000</v>
      </c>
      <c r="L193" s="4">
        <f t="shared" si="7"/>
        <v>13000000</v>
      </c>
      <c r="M193" s="2" t="s">
        <v>22</v>
      </c>
      <c r="N193" s="3" t="str">
        <f t="shared" si="8"/>
        <v>Tersedia</v>
      </c>
      <c r="O193" s="2" t="s">
        <v>76</v>
      </c>
    </row>
    <row r="194" spans="1:15" x14ac:dyDescent="0.35">
      <c r="A194" s="5" t="s">
        <v>446</v>
      </c>
      <c r="B194" s="5" t="s">
        <v>55</v>
      </c>
      <c r="C194" s="5" t="s">
        <v>39</v>
      </c>
      <c r="D194" s="5" t="s">
        <v>40</v>
      </c>
      <c r="E194" s="5" t="s">
        <v>64</v>
      </c>
      <c r="F194" s="6" t="s">
        <v>447</v>
      </c>
      <c r="G194" s="6" t="s">
        <v>448</v>
      </c>
      <c r="H194" s="7">
        <v>5</v>
      </c>
      <c r="I194" s="7">
        <v>1</v>
      </c>
      <c r="J194" s="7">
        <f t="shared" si="6"/>
        <v>4</v>
      </c>
      <c r="K194" s="7">
        <v>1850000</v>
      </c>
      <c r="L194" s="7">
        <f t="shared" si="7"/>
        <v>7400000</v>
      </c>
      <c r="M194" s="5" t="s">
        <v>35</v>
      </c>
      <c r="N194" s="6" t="str">
        <f t="shared" si="8"/>
        <v>Menipis</v>
      </c>
      <c r="O194" s="5" t="s">
        <v>76</v>
      </c>
    </row>
    <row r="195" spans="1:15" x14ac:dyDescent="0.35">
      <c r="A195" s="2" t="s">
        <v>126</v>
      </c>
      <c r="B195" s="2" t="s">
        <v>127</v>
      </c>
      <c r="C195" s="2" t="s">
        <v>39</v>
      </c>
      <c r="D195" s="2" t="s">
        <v>40</v>
      </c>
      <c r="E195" s="2" t="s">
        <v>101</v>
      </c>
      <c r="F195" s="3" t="s">
        <v>65</v>
      </c>
      <c r="G195" s="3" t="s">
        <v>422</v>
      </c>
      <c r="H195" s="4">
        <v>5</v>
      </c>
      <c r="I195" s="4">
        <v>1</v>
      </c>
      <c r="J195" s="4">
        <f t="shared" si="6"/>
        <v>4</v>
      </c>
      <c r="K195" s="4">
        <v>1550000</v>
      </c>
      <c r="L195" s="4">
        <f t="shared" si="7"/>
        <v>6200000</v>
      </c>
      <c r="M195" s="2" t="s">
        <v>35</v>
      </c>
      <c r="N195" s="3" t="str">
        <f t="shared" si="8"/>
        <v>Menipis</v>
      </c>
      <c r="O195" s="2" t="s">
        <v>31</v>
      </c>
    </row>
    <row r="196" spans="1:15" x14ac:dyDescent="0.35">
      <c r="A196" s="5" t="s">
        <v>319</v>
      </c>
      <c r="B196" s="5" t="s">
        <v>114</v>
      </c>
      <c r="C196" s="5" t="s">
        <v>17</v>
      </c>
      <c r="D196" s="5" t="s">
        <v>18</v>
      </c>
      <c r="E196" s="5" t="s">
        <v>101</v>
      </c>
      <c r="F196" s="6" t="s">
        <v>449</v>
      </c>
      <c r="G196" s="6"/>
      <c r="H196" s="7">
        <v>50</v>
      </c>
      <c r="I196" s="7">
        <v>0</v>
      </c>
      <c r="J196" s="7">
        <f t="shared" si="6"/>
        <v>50</v>
      </c>
      <c r="K196" s="7">
        <v>85000</v>
      </c>
      <c r="L196" s="7">
        <f t="shared" si="7"/>
        <v>4250000</v>
      </c>
      <c r="M196" s="5" t="s">
        <v>30</v>
      </c>
      <c r="N196" s="6" t="str">
        <f t="shared" si="8"/>
        <v>Tersedia</v>
      </c>
      <c r="O196" s="5" t="s">
        <v>36</v>
      </c>
    </row>
    <row r="197" spans="1:15" x14ac:dyDescent="0.35">
      <c r="A197" s="2" t="s">
        <v>450</v>
      </c>
      <c r="B197" s="2" t="s">
        <v>165</v>
      </c>
      <c r="C197" s="2" t="s">
        <v>17</v>
      </c>
      <c r="D197" s="2" t="s">
        <v>18</v>
      </c>
      <c r="E197" s="2" t="s">
        <v>56</v>
      </c>
      <c r="F197" s="3" t="s">
        <v>112</v>
      </c>
      <c r="G197" s="3" t="s">
        <v>451</v>
      </c>
      <c r="H197" s="4">
        <v>100</v>
      </c>
      <c r="I197" s="4">
        <v>36</v>
      </c>
      <c r="J197" s="4">
        <f t="shared" ref="J197:J260" si="9">H197-I197</f>
        <v>64</v>
      </c>
      <c r="K197" s="4">
        <v>35000</v>
      </c>
      <c r="L197" s="4">
        <f t="shared" ref="L197:L260" si="10">J197*K197</f>
        <v>2240000</v>
      </c>
      <c r="M197" s="2" t="s">
        <v>35</v>
      </c>
      <c r="N197" s="3" t="str">
        <f t="shared" ref="N197:N260" si="11">IF(J197&lt;=0,"Habis",IF(J197&lt;=5,"Menipis","Tersedia"))</f>
        <v>Tersedia</v>
      </c>
      <c r="O197" s="2" t="s">
        <v>36</v>
      </c>
    </row>
    <row r="198" spans="1:15" x14ac:dyDescent="0.35">
      <c r="A198" s="5" t="s">
        <v>452</v>
      </c>
      <c r="B198" s="5" t="s">
        <v>120</v>
      </c>
      <c r="C198" s="5" t="s">
        <v>73</v>
      </c>
      <c r="D198" s="5" t="s">
        <v>74</v>
      </c>
      <c r="E198" s="5" t="s">
        <v>34</v>
      </c>
      <c r="F198" s="6" t="s">
        <v>84</v>
      </c>
      <c r="G198" s="6"/>
      <c r="H198" s="7">
        <v>20</v>
      </c>
      <c r="I198" s="7">
        <v>0</v>
      </c>
      <c r="J198" s="7">
        <f t="shared" si="9"/>
        <v>20</v>
      </c>
      <c r="K198" s="7">
        <v>75000</v>
      </c>
      <c r="L198" s="7">
        <f t="shared" si="10"/>
        <v>1500000</v>
      </c>
      <c r="M198" s="5" t="s">
        <v>85</v>
      </c>
      <c r="N198" s="6" t="str">
        <f t="shared" si="11"/>
        <v>Tersedia</v>
      </c>
      <c r="O198" s="5" t="s">
        <v>76</v>
      </c>
    </row>
    <row r="199" spans="1:15" x14ac:dyDescent="0.35">
      <c r="A199" s="2" t="s">
        <v>249</v>
      </c>
      <c r="B199" s="2" t="s">
        <v>72</v>
      </c>
      <c r="C199" s="2" t="s">
        <v>73</v>
      </c>
      <c r="D199" s="2" t="s">
        <v>74</v>
      </c>
      <c r="E199" s="2" t="s">
        <v>52</v>
      </c>
      <c r="F199" s="3" t="s">
        <v>453</v>
      </c>
      <c r="G199" s="3" t="s">
        <v>408</v>
      </c>
      <c r="H199" s="4">
        <v>50</v>
      </c>
      <c r="I199" s="4">
        <v>8</v>
      </c>
      <c r="J199" s="4">
        <f t="shared" si="9"/>
        <v>42</v>
      </c>
      <c r="K199" s="4">
        <v>240000</v>
      </c>
      <c r="L199" s="4">
        <f t="shared" si="10"/>
        <v>10080000</v>
      </c>
      <c r="M199" s="2" t="s">
        <v>43</v>
      </c>
      <c r="N199" s="3" t="str">
        <f t="shared" si="11"/>
        <v>Tersedia</v>
      </c>
      <c r="O199" s="2" t="s">
        <v>31</v>
      </c>
    </row>
    <row r="200" spans="1:15" x14ac:dyDescent="0.35">
      <c r="A200" s="5" t="s">
        <v>454</v>
      </c>
      <c r="B200" s="5" t="s">
        <v>16</v>
      </c>
      <c r="C200" s="5" t="s">
        <v>17</v>
      </c>
      <c r="D200" s="5" t="s">
        <v>18</v>
      </c>
      <c r="E200" s="5" t="s">
        <v>19</v>
      </c>
      <c r="F200" s="6" t="s">
        <v>455</v>
      </c>
      <c r="G200" s="6" t="s">
        <v>267</v>
      </c>
      <c r="H200" s="7">
        <v>150</v>
      </c>
      <c r="I200" s="7">
        <v>24</v>
      </c>
      <c r="J200" s="7">
        <f t="shared" si="9"/>
        <v>126</v>
      </c>
      <c r="K200" s="7">
        <v>45000</v>
      </c>
      <c r="L200" s="7">
        <f t="shared" si="10"/>
        <v>5670000</v>
      </c>
      <c r="M200" s="5" t="s">
        <v>35</v>
      </c>
      <c r="N200" s="6" t="str">
        <f t="shared" si="11"/>
        <v>Tersedia</v>
      </c>
      <c r="O200" s="5" t="s">
        <v>44</v>
      </c>
    </row>
    <row r="201" spans="1:15" x14ac:dyDescent="0.35">
      <c r="A201" s="2" t="s">
        <v>456</v>
      </c>
      <c r="B201" s="2" t="s">
        <v>72</v>
      </c>
      <c r="C201" s="2" t="s">
        <v>73</v>
      </c>
      <c r="D201" s="2" t="s">
        <v>74</v>
      </c>
      <c r="E201" s="2" t="s">
        <v>19</v>
      </c>
      <c r="F201" s="3" t="s">
        <v>252</v>
      </c>
      <c r="G201" s="3" t="s">
        <v>457</v>
      </c>
      <c r="H201" s="4">
        <v>150</v>
      </c>
      <c r="I201" s="4">
        <v>78</v>
      </c>
      <c r="J201" s="4">
        <f t="shared" si="9"/>
        <v>72</v>
      </c>
      <c r="K201" s="4">
        <v>240000</v>
      </c>
      <c r="L201" s="4">
        <f t="shared" si="10"/>
        <v>17280000</v>
      </c>
      <c r="M201" s="2" t="s">
        <v>35</v>
      </c>
      <c r="N201" s="3" t="str">
        <f t="shared" si="11"/>
        <v>Tersedia</v>
      </c>
      <c r="O201" s="2" t="s">
        <v>86</v>
      </c>
    </row>
    <row r="202" spans="1:15" x14ac:dyDescent="0.35">
      <c r="A202" s="5" t="s">
        <v>349</v>
      </c>
      <c r="B202" s="5" t="s">
        <v>138</v>
      </c>
      <c r="C202" s="5" t="s">
        <v>62</v>
      </c>
      <c r="D202" s="5" t="s">
        <v>63</v>
      </c>
      <c r="E202" s="5" t="s">
        <v>68</v>
      </c>
      <c r="F202" s="6" t="s">
        <v>193</v>
      </c>
      <c r="G202" s="6" t="s">
        <v>102</v>
      </c>
      <c r="H202" s="7">
        <v>200</v>
      </c>
      <c r="I202" s="7">
        <v>92</v>
      </c>
      <c r="J202" s="7">
        <f t="shared" si="9"/>
        <v>108</v>
      </c>
      <c r="K202" s="7">
        <v>450000</v>
      </c>
      <c r="L202" s="7">
        <f t="shared" si="10"/>
        <v>48600000</v>
      </c>
      <c r="M202" s="5" t="s">
        <v>35</v>
      </c>
      <c r="N202" s="6" t="str">
        <f t="shared" si="11"/>
        <v>Tersedia</v>
      </c>
      <c r="O202" s="5" t="s">
        <v>36</v>
      </c>
    </row>
    <row r="203" spans="1:15" x14ac:dyDescent="0.35">
      <c r="A203" s="2" t="s">
        <v>458</v>
      </c>
      <c r="B203" s="2" t="s">
        <v>158</v>
      </c>
      <c r="C203" s="2" t="s">
        <v>26</v>
      </c>
      <c r="D203" s="2" t="s">
        <v>27</v>
      </c>
      <c r="E203" s="2" t="s">
        <v>151</v>
      </c>
      <c r="F203" s="3" t="s">
        <v>189</v>
      </c>
      <c r="G203" s="3"/>
      <c r="H203" s="4">
        <v>200</v>
      </c>
      <c r="I203" s="4">
        <v>0</v>
      </c>
      <c r="J203" s="4">
        <f t="shared" si="9"/>
        <v>200</v>
      </c>
      <c r="K203" s="4">
        <v>65000</v>
      </c>
      <c r="L203" s="4">
        <f t="shared" si="10"/>
        <v>13000000</v>
      </c>
      <c r="M203" s="2" t="s">
        <v>85</v>
      </c>
      <c r="N203" s="3" t="str">
        <f t="shared" si="11"/>
        <v>Tersedia</v>
      </c>
      <c r="O203" s="2" t="s">
        <v>76</v>
      </c>
    </row>
    <row r="204" spans="1:15" x14ac:dyDescent="0.35">
      <c r="A204" s="5" t="s">
        <v>459</v>
      </c>
      <c r="B204" s="5" t="s">
        <v>114</v>
      </c>
      <c r="C204" s="5" t="s">
        <v>17</v>
      </c>
      <c r="D204" s="5" t="s">
        <v>18</v>
      </c>
      <c r="E204" s="5" t="s">
        <v>47</v>
      </c>
      <c r="F204" s="6" t="s">
        <v>231</v>
      </c>
      <c r="G204" s="6"/>
      <c r="H204" s="7">
        <v>100</v>
      </c>
      <c r="I204" s="7">
        <v>0</v>
      </c>
      <c r="J204" s="7">
        <f t="shared" si="9"/>
        <v>100</v>
      </c>
      <c r="K204" s="7">
        <v>85000</v>
      </c>
      <c r="L204" s="7">
        <f t="shared" si="10"/>
        <v>8500000</v>
      </c>
      <c r="M204" s="5" t="s">
        <v>30</v>
      </c>
      <c r="N204" s="6" t="str">
        <f t="shared" si="11"/>
        <v>Tersedia</v>
      </c>
      <c r="O204" s="5" t="s">
        <v>86</v>
      </c>
    </row>
    <row r="205" spans="1:15" x14ac:dyDescent="0.35">
      <c r="A205" s="2" t="s">
        <v>460</v>
      </c>
      <c r="B205" s="2" t="s">
        <v>100</v>
      </c>
      <c r="C205" s="2" t="s">
        <v>81</v>
      </c>
      <c r="D205" s="2" t="s">
        <v>82</v>
      </c>
      <c r="E205" s="2" t="s">
        <v>52</v>
      </c>
      <c r="F205" s="3" t="s">
        <v>316</v>
      </c>
      <c r="G205" s="3" t="s">
        <v>276</v>
      </c>
      <c r="H205" s="4">
        <v>10</v>
      </c>
      <c r="I205" s="4">
        <v>10</v>
      </c>
      <c r="J205" s="4">
        <f t="shared" si="9"/>
        <v>0</v>
      </c>
      <c r="K205" s="4">
        <v>220000</v>
      </c>
      <c r="L205" s="4">
        <f t="shared" si="10"/>
        <v>0</v>
      </c>
      <c r="M205" s="2" t="s">
        <v>30</v>
      </c>
      <c r="N205" s="3" t="str">
        <f t="shared" si="11"/>
        <v>Habis</v>
      </c>
      <c r="O205" s="2" t="s">
        <v>86</v>
      </c>
    </row>
    <row r="206" spans="1:15" x14ac:dyDescent="0.35">
      <c r="A206" s="5" t="s">
        <v>461</v>
      </c>
      <c r="B206" s="5" t="s">
        <v>46</v>
      </c>
      <c r="C206" s="5" t="s">
        <v>26</v>
      </c>
      <c r="D206" s="5" t="s">
        <v>27</v>
      </c>
      <c r="E206" s="5" t="s">
        <v>47</v>
      </c>
      <c r="F206" s="6" t="s">
        <v>383</v>
      </c>
      <c r="G206" s="6" t="s">
        <v>416</v>
      </c>
      <c r="H206" s="7">
        <v>200</v>
      </c>
      <c r="I206" s="7">
        <v>147</v>
      </c>
      <c r="J206" s="7">
        <f t="shared" si="9"/>
        <v>53</v>
      </c>
      <c r="K206" s="7">
        <v>35000</v>
      </c>
      <c r="L206" s="7">
        <f t="shared" si="10"/>
        <v>1855000</v>
      </c>
      <c r="M206" s="5" t="s">
        <v>30</v>
      </c>
      <c r="N206" s="6" t="str">
        <f t="shared" si="11"/>
        <v>Tersedia</v>
      </c>
      <c r="O206" s="5" t="s">
        <v>23</v>
      </c>
    </row>
    <row r="207" spans="1:15" x14ac:dyDescent="0.35">
      <c r="A207" s="2" t="s">
        <v>462</v>
      </c>
      <c r="B207" s="2" t="s">
        <v>51</v>
      </c>
      <c r="C207" s="2" t="s">
        <v>17</v>
      </c>
      <c r="D207" s="2" t="s">
        <v>18</v>
      </c>
      <c r="E207" s="2" t="s">
        <v>68</v>
      </c>
      <c r="F207" s="3" t="s">
        <v>75</v>
      </c>
      <c r="G207" s="3" t="s">
        <v>244</v>
      </c>
      <c r="H207" s="4">
        <v>20</v>
      </c>
      <c r="I207" s="4">
        <v>9</v>
      </c>
      <c r="J207" s="4">
        <f t="shared" si="9"/>
        <v>11</v>
      </c>
      <c r="K207" s="4">
        <v>150000</v>
      </c>
      <c r="L207" s="4">
        <f t="shared" si="10"/>
        <v>1650000</v>
      </c>
      <c r="M207" s="2" t="s">
        <v>35</v>
      </c>
      <c r="N207" s="3" t="str">
        <f t="shared" si="11"/>
        <v>Tersedia</v>
      </c>
      <c r="O207" s="2" t="s">
        <v>70</v>
      </c>
    </row>
    <row r="208" spans="1:15" x14ac:dyDescent="0.35">
      <c r="A208" s="5" t="s">
        <v>463</v>
      </c>
      <c r="B208" s="5" t="s">
        <v>88</v>
      </c>
      <c r="C208" s="5" t="s">
        <v>73</v>
      </c>
      <c r="D208" s="5" t="s">
        <v>74</v>
      </c>
      <c r="E208" s="5" t="s">
        <v>96</v>
      </c>
      <c r="F208" s="6" t="s">
        <v>112</v>
      </c>
      <c r="G208" s="6" t="s">
        <v>368</v>
      </c>
      <c r="H208" s="7">
        <v>200</v>
      </c>
      <c r="I208" s="7">
        <v>73</v>
      </c>
      <c r="J208" s="7">
        <f t="shared" si="9"/>
        <v>127</v>
      </c>
      <c r="K208" s="7">
        <v>650000</v>
      </c>
      <c r="L208" s="7">
        <f t="shared" si="10"/>
        <v>82550000</v>
      </c>
      <c r="M208" s="5" t="s">
        <v>35</v>
      </c>
      <c r="N208" s="6" t="str">
        <f t="shared" si="11"/>
        <v>Tersedia</v>
      </c>
      <c r="O208" s="5" t="s">
        <v>70</v>
      </c>
    </row>
    <row r="209" spans="1:15" x14ac:dyDescent="0.35">
      <c r="A209" s="2" t="s">
        <v>464</v>
      </c>
      <c r="B209" s="2" t="s">
        <v>100</v>
      </c>
      <c r="C209" s="2" t="s">
        <v>81</v>
      </c>
      <c r="D209" s="2" t="s">
        <v>82</v>
      </c>
      <c r="E209" s="2" t="s">
        <v>34</v>
      </c>
      <c r="F209" s="3" t="s">
        <v>300</v>
      </c>
      <c r="G209" s="3" t="s">
        <v>465</v>
      </c>
      <c r="H209" s="4">
        <v>200</v>
      </c>
      <c r="I209" s="4">
        <v>87</v>
      </c>
      <c r="J209" s="4">
        <f t="shared" si="9"/>
        <v>113</v>
      </c>
      <c r="K209" s="4">
        <v>220000</v>
      </c>
      <c r="L209" s="4">
        <f t="shared" si="10"/>
        <v>24860000</v>
      </c>
      <c r="M209" s="2" t="s">
        <v>43</v>
      </c>
      <c r="N209" s="3" t="str">
        <f t="shared" si="11"/>
        <v>Tersedia</v>
      </c>
      <c r="O209" s="2" t="s">
        <v>86</v>
      </c>
    </row>
    <row r="210" spans="1:15" x14ac:dyDescent="0.35">
      <c r="A210" s="5" t="s">
        <v>466</v>
      </c>
      <c r="B210" s="5" t="s">
        <v>16</v>
      </c>
      <c r="C210" s="5" t="s">
        <v>17</v>
      </c>
      <c r="D210" s="5" t="s">
        <v>18</v>
      </c>
      <c r="E210" s="5" t="s">
        <v>34</v>
      </c>
      <c r="F210" s="6" t="s">
        <v>467</v>
      </c>
      <c r="G210" s="6" t="s">
        <v>373</v>
      </c>
      <c r="H210" s="7">
        <v>20</v>
      </c>
      <c r="I210" s="7">
        <v>7</v>
      </c>
      <c r="J210" s="7">
        <f t="shared" si="9"/>
        <v>13</v>
      </c>
      <c r="K210" s="7">
        <v>45000</v>
      </c>
      <c r="L210" s="7">
        <f t="shared" si="10"/>
        <v>585000</v>
      </c>
      <c r="M210" s="5" t="s">
        <v>22</v>
      </c>
      <c r="N210" s="6" t="str">
        <f t="shared" si="11"/>
        <v>Tersedia</v>
      </c>
      <c r="O210" s="5" t="s">
        <v>31</v>
      </c>
    </row>
    <row r="211" spans="1:15" x14ac:dyDescent="0.35">
      <c r="A211" s="2" t="s">
        <v>468</v>
      </c>
      <c r="B211" s="2" t="s">
        <v>206</v>
      </c>
      <c r="C211" s="2" t="s">
        <v>73</v>
      </c>
      <c r="D211" s="2" t="s">
        <v>74</v>
      </c>
      <c r="E211" s="2" t="s">
        <v>47</v>
      </c>
      <c r="F211" s="3" t="s">
        <v>469</v>
      </c>
      <c r="G211" s="3" t="s">
        <v>378</v>
      </c>
      <c r="H211" s="4">
        <v>10</v>
      </c>
      <c r="I211" s="4">
        <v>10</v>
      </c>
      <c r="J211" s="4">
        <f t="shared" si="9"/>
        <v>0</v>
      </c>
      <c r="K211" s="4">
        <v>45000</v>
      </c>
      <c r="L211" s="4">
        <f t="shared" si="10"/>
        <v>0</v>
      </c>
      <c r="M211" s="2" t="s">
        <v>85</v>
      </c>
      <c r="N211" s="3" t="str">
        <f t="shared" si="11"/>
        <v>Habis</v>
      </c>
      <c r="O211" s="2" t="s">
        <v>76</v>
      </c>
    </row>
    <row r="212" spans="1:15" x14ac:dyDescent="0.35">
      <c r="A212" s="5" t="s">
        <v>470</v>
      </c>
      <c r="B212" s="5" t="s">
        <v>72</v>
      </c>
      <c r="C212" s="5" t="s">
        <v>73</v>
      </c>
      <c r="D212" s="5" t="s">
        <v>74</v>
      </c>
      <c r="E212" s="5" t="s">
        <v>68</v>
      </c>
      <c r="F212" s="6" t="s">
        <v>252</v>
      </c>
      <c r="G212" s="6" t="s">
        <v>471</v>
      </c>
      <c r="H212" s="7">
        <v>150</v>
      </c>
      <c r="I212" s="7">
        <v>149</v>
      </c>
      <c r="J212" s="7">
        <f t="shared" si="9"/>
        <v>1</v>
      </c>
      <c r="K212" s="7">
        <v>240000</v>
      </c>
      <c r="L212" s="7">
        <f t="shared" si="10"/>
        <v>240000</v>
      </c>
      <c r="M212" s="5" t="s">
        <v>22</v>
      </c>
      <c r="N212" s="6" t="str">
        <f t="shared" si="11"/>
        <v>Menipis</v>
      </c>
      <c r="O212" s="5" t="s">
        <v>23</v>
      </c>
    </row>
    <row r="213" spans="1:15" x14ac:dyDescent="0.35">
      <c r="A213" s="2" t="s">
        <v>472</v>
      </c>
      <c r="B213" s="2" t="s">
        <v>127</v>
      </c>
      <c r="C213" s="2" t="s">
        <v>39</v>
      </c>
      <c r="D213" s="2" t="s">
        <v>40</v>
      </c>
      <c r="E213" s="2" t="s">
        <v>56</v>
      </c>
      <c r="F213" s="3" t="s">
        <v>473</v>
      </c>
      <c r="G213" s="3" t="s">
        <v>238</v>
      </c>
      <c r="H213" s="4">
        <v>5</v>
      </c>
      <c r="I213" s="4">
        <v>4</v>
      </c>
      <c r="J213" s="4">
        <f t="shared" si="9"/>
        <v>1</v>
      </c>
      <c r="K213" s="4">
        <v>1550000</v>
      </c>
      <c r="L213" s="4">
        <f t="shared" si="10"/>
        <v>1550000</v>
      </c>
      <c r="M213" s="2" t="s">
        <v>22</v>
      </c>
      <c r="N213" s="3" t="str">
        <f t="shared" si="11"/>
        <v>Menipis</v>
      </c>
      <c r="O213" s="2" t="s">
        <v>76</v>
      </c>
    </row>
    <row r="214" spans="1:15" x14ac:dyDescent="0.35">
      <c r="A214" s="5" t="s">
        <v>369</v>
      </c>
      <c r="B214" s="5" t="s">
        <v>38</v>
      </c>
      <c r="C214" s="5" t="s">
        <v>39</v>
      </c>
      <c r="D214" s="5" t="s">
        <v>40</v>
      </c>
      <c r="E214" s="5" t="s">
        <v>68</v>
      </c>
      <c r="F214" s="6" t="s">
        <v>422</v>
      </c>
      <c r="G214" s="6" t="s">
        <v>444</v>
      </c>
      <c r="H214" s="7">
        <v>10</v>
      </c>
      <c r="I214" s="7">
        <v>3</v>
      </c>
      <c r="J214" s="7">
        <f t="shared" si="9"/>
        <v>7</v>
      </c>
      <c r="K214" s="7">
        <v>4500000</v>
      </c>
      <c r="L214" s="7">
        <f t="shared" si="10"/>
        <v>31500000</v>
      </c>
      <c r="M214" s="5" t="s">
        <v>30</v>
      </c>
      <c r="N214" s="6" t="str">
        <f t="shared" si="11"/>
        <v>Tersedia</v>
      </c>
      <c r="O214" s="5" t="s">
        <v>44</v>
      </c>
    </row>
    <row r="215" spans="1:15" x14ac:dyDescent="0.35">
      <c r="A215" s="2" t="s">
        <v>474</v>
      </c>
      <c r="B215" s="2" t="s">
        <v>108</v>
      </c>
      <c r="C215" s="2" t="s">
        <v>62</v>
      </c>
      <c r="D215" s="2" t="s">
        <v>63</v>
      </c>
      <c r="E215" s="2" t="s">
        <v>19</v>
      </c>
      <c r="F215" s="3" t="s">
        <v>475</v>
      </c>
      <c r="G215" s="3" t="s">
        <v>413</v>
      </c>
      <c r="H215" s="4">
        <v>50</v>
      </c>
      <c r="I215" s="4">
        <v>35</v>
      </c>
      <c r="J215" s="4">
        <f t="shared" si="9"/>
        <v>15</v>
      </c>
      <c r="K215" s="4">
        <v>650000</v>
      </c>
      <c r="L215" s="4">
        <f t="shared" si="10"/>
        <v>9750000</v>
      </c>
      <c r="M215" s="2" t="s">
        <v>30</v>
      </c>
      <c r="N215" s="3" t="str">
        <f t="shared" si="11"/>
        <v>Tersedia</v>
      </c>
      <c r="O215" s="2" t="s">
        <v>36</v>
      </c>
    </row>
    <row r="216" spans="1:15" x14ac:dyDescent="0.35">
      <c r="A216" s="5" t="s">
        <v>476</v>
      </c>
      <c r="B216" s="5" t="s">
        <v>51</v>
      </c>
      <c r="C216" s="5" t="s">
        <v>17</v>
      </c>
      <c r="D216" s="5" t="s">
        <v>18</v>
      </c>
      <c r="E216" s="5" t="s">
        <v>101</v>
      </c>
      <c r="F216" s="6" t="s">
        <v>207</v>
      </c>
      <c r="G216" s="6"/>
      <c r="H216" s="7">
        <v>10</v>
      </c>
      <c r="I216" s="7">
        <v>0</v>
      </c>
      <c r="J216" s="7">
        <f t="shared" si="9"/>
        <v>10</v>
      </c>
      <c r="K216" s="7">
        <v>150000</v>
      </c>
      <c r="L216" s="7">
        <f t="shared" si="10"/>
        <v>1500000</v>
      </c>
      <c r="M216" s="5" t="s">
        <v>43</v>
      </c>
      <c r="N216" s="6" t="str">
        <f t="shared" si="11"/>
        <v>Tersedia</v>
      </c>
      <c r="O216" s="5" t="s">
        <v>44</v>
      </c>
    </row>
    <row r="217" spans="1:15" x14ac:dyDescent="0.35">
      <c r="A217" s="2" t="s">
        <v>304</v>
      </c>
      <c r="B217" s="2" t="s">
        <v>25</v>
      </c>
      <c r="C217" s="2" t="s">
        <v>26</v>
      </c>
      <c r="D217" s="2" t="s">
        <v>27</v>
      </c>
      <c r="E217" s="2" t="s">
        <v>52</v>
      </c>
      <c r="F217" s="3" t="s">
        <v>378</v>
      </c>
      <c r="G217" s="3" t="s">
        <v>477</v>
      </c>
      <c r="H217" s="4">
        <v>10</v>
      </c>
      <c r="I217" s="4">
        <v>8</v>
      </c>
      <c r="J217" s="4">
        <f t="shared" si="9"/>
        <v>2</v>
      </c>
      <c r="K217" s="4">
        <v>45000</v>
      </c>
      <c r="L217" s="4">
        <f t="shared" si="10"/>
        <v>90000</v>
      </c>
      <c r="M217" s="2" t="s">
        <v>85</v>
      </c>
      <c r="N217" s="3" t="str">
        <f t="shared" si="11"/>
        <v>Menipis</v>
      </c>
      <c r="O217" s="2" t="s">
        <v>76</v>
      </c>
    </row>
    <row r="218" spans="1:15" x14ac:dyDescent="0.35">
      <c r="A218" s="5" t="s">
        <v>187</v>
      </c>
      <c r="B218" s="5" t="s">
        <v>80</v>
      </c>
      <c r="C218" s="5" t="s">
        <v>81</v>
      </c>
      <c r="D218" s="5" t="s">
        <v>82</v>
      </c>
      <c r="E218" s="5" t="s">
        <v>151</v>
      </c>
      <c r="F218" s="6" t="s">
        <v>140</v>
      </c>
      <c r="G218" s="6"/>
      <c r="H218" s="7">
        <v>20</v>
      </c>
      <c r="I218" s="7">
        <v>0</v>
      </c>
      <c r="J218" s="7">
        <f t="shared" si="9"/>
        <v>20</v>
      </c>
      <c r="K218" s="7">
        <v>280000</v>
      </c>
      <c r="L218" s="7">
        <f t="shared" si="10"/>
        <v>5600000</v>
      </c>
      <c r="M218" s="5" t="s">
        <v>30</v>
      </c>
      <c r="N218" s="6" t="str">
        <f t="shared" si="11"/>
        <v>Tersedia</v>
      </c>
      <c r="O218" s="5" t="s">
        <v>70</v>
      </c>
    </row>
    <row r="219" spans="1:15" x14ac:dyDescent="0.35">
      <c r="A219" s="2" t="s">
        <v>443</v>
      </c>
      <c r="B219" s="2" t="s">
        <v>88</v>
      </c>
      <c r="C219" s="2" t="s">
        <v>73</v>
      </c>
      <c r="D219" s="2" t="s">
        <v>74</v>
      </c>
      <c r="E219" s="2" t="s">
        <v>47</v>
      </c>
      <c r="F219" s="3" t="s">
        <v>317</v>
      </c>
      <c r="G219" s="3"/>
      <c r="H219" s="4">
        <v>150</v>
      </c>
      <c r="I219" s="4">
        <v>0</v>
      </c>
      <c r="J219" s="4">
        <f t="shared" si="9"/>
        <v>150</v>
      </c>
      <c r="K219" s="4">
        <v>650000</v>
      </c>
      <c r="L219" s="4">
        <f t="shared" si="10"/>
        <v>97500000</v>
      </c>
      <c r="M219" s="2" t="s">
        <v>30</v>
      </c>
      <c r="N219" s="3" t="str">
        <f t="shared" si="11"/>
        <v>Tersedia</v>
      </c>
      <c r="O219" s="2" t="s">
        <v>23</v>
      </c>
    </row>
    <row r="220" spans="1:15" x14ac:dyDescent="0.35">
      <c r="A220" s="5" t="s">
        <v>478</v>
      </c>
      <c r="B220" s="5" t="s">
        <v>108</v>
      </c>
      <c r="C220" s="5" t="s">
        <v>62</v>
      </c>
      <c r="D220" s="5" t="s">
        <v>63</v>
      </c>
      <c r="E220" s="5" t="s">
        <v>64</v>
      </c>
      <c r="F220" s="6" t="s">
        <v>180</v>
      </c>
      <c r="G220" s="6"/>
      <c r="H220" s="7">
        <v>200</v>
      </c>
      <c r="I220" s="7">
        <v>0</v>
      </c>
      <c r="J220" s="7">
        <f t="shared" si="9"/>
        <v>200</v>
      </c>
      <c r="K220" s="7">
        <v>650000</v>
      </c>
      <c r="L220" s="7">
        <f t="shared" si="10"/>
        <v>130000000</v>
      </c>
      <c r="M220" s="5" t="s">
        <v>43</v>
      </c>
      <c r="N220" s="6" t="str">
        <f t="shared" si="11"/>
        <v>Tersedia</v>
      </c>
      <c r="O220" s="5" t="s">
        <v>76</v>
      </c>
    </row>
    <row r="221" spans="1:15" x14ac:dyDescent="0.35">
      <c r="A221" s="2" t="s">
        <v>278</v>
      </c>
      <c r="B221" s="2" t="s">
        <v>108</v>
      </c>
      <c r="C221" s="2" t="s">
        <v>62</v>
      </c>
      <c r="D221" s="2" t="s">
        <v>63</v>
      </c>
      <c r="E221" s="2" t="s">
        <v>47</v>
      </c>
      <c r="F221" s="3" t="s">
        <v>479</v>
      </c>
      <c r="G221" s="3" t="s">
        <v>225</v>
      </c>
      <c r="H221" s="4">
        <v>50</v>
      </c>
      <c r="I221" s="4">
        <v>15</v>
      </c>
      <c r="J221" s="4">
        <f t="shared" si="9"/>
        <v>35</v>
      </c>
      <c r="K221" s="4">
        <v>650000</v>
      </c>
      <c r="L221" s="4">
        <f t="shared" si="10"/>
        <v>22750000</v>
      </c>
      <c r="M221" s="2" t="s">
        <v>30</v>
      </c>
      <c r="N221" s="3" t="str">
        <f t="shared" si="11"/>
        <v>Tersedia</v>
      </c>
      <c r="O221" s="2" t="s">
        <v>23</v>
      </c>
    </row>
    <row r="222" spans="1:15" x14ac:dyDescent="0.35">
      <c r="A222" s="5" t="s">
        <v>345</v>
      </c>
      <c r="B222" s="5" t="s">
        <v>150</v>
      </c>
      <c r="C222" s="5" t="s">
        <v>81</v>
      </c>
      <c r="D222" s="5" t="s">
        <v>82</v>
      </c>
      <c r="E222" s="5" t="s">
        <v>19</v>
      </c>
      <c r="F222" s="6" t="s">
        <v>361</v>
      </c>
      <c r="G222" s="6"/>
      <c r="H222" s="7">
        <v>10</v>
      </c>
      <c r="I222" s="7">
        <v>0</v>
      </c>
      <c r="J222" s="7">
        <f t="shared" si="9"/>
        <v>10</v>
      </c>
      <c r="K222" s="7">
        <v>85000</v>
      </c>
      <c r="L222" s="7">
        <f t="shared" si="10"/>
        <v>850000</v>
      </c>
      <c r="M222" s="5" t="s">
        <v>22</v>
      </c>
      <c r="N222" s="6" t="str">
        <f t="shared" si="11"/>
        <v>Tersedia</v>
      </c>
      <c r="O222" s="5" t="s">
        <v>59</v>
      </c>
    </row>
    <row r="223" spans="1:15" x14ac:dyDescent="0.35">
      <c r="A223" s="2" t="s">
        <v>324</v>
      </c>
      <c r="B223" s="2" t="s">
        <v>120</v>
      </c>
      <c r="C223" s="2" t="s">
        <v>73</v>
      </c>
      <c r="D223" s="2" t="s">
        <v>74</v>
      </c>
      <c r="E223" s="2" t="s">
        <v>47</v>
      </c>
      <c r="F223" s="3" t="s">
        <v>21</v>
      </c>
      <c r="G223" s="3" t="s">
        <v>153</v>
      </c>
      <c r="H223" s="4">
        <v>150</v>
      </c>
      <c r="I223" s="4">
        <v>145</v>
      </c>
      <c r="J223" s="4">
        <f t="shared" si="9"/>
        <v>5</v>
      </c>
      <c r="K223" s="4">
        <v>75000</v>
      </c>
      <c r="L223" s="4">
        <f t="shared" si="10"/>
        <v>375000</v>
      </c>
      <c r="M223" s="2" t="s">
        <v>85</v>
      </c>
      <c r="N223" s="3" t="str">
        <f t="shared" si="11"/>
        <v>Menipis</v>
      </c>
      <c r="O223" s="2" t="s">
        <v>76</v>
      </c>
    </row>
    <row r="224" spans="1:15" x14ac:dyDescent="0.35">
      <c r="A224" s="5" t="s">
        <v>379</v>
      </c>
      <c r="B224" s="5" t="s">
        <v>80</v>
      </c>
      <c r="C224" s="5" t="s">
        <v>81</v>
      </c>
      <c r="D224" s="5" t="s">
        <v>82</v>
      </c>
      <c r="E224" s="5" t="s">
        <v>52</v>
      </c>
      <c r="F224" s="6" t="s">
        <v>146</v>
      </c>
      <c r="G224" s="6" t="s">
        <v>274</v>
      </c>
      <c r="H224" s="7">
        <v>10</v>
      </c>
      <c r="I224" s="7">
        <v>8</v>
      </c>
      <c r="J224" s="7">
        <f t="shared" si="9"/>
        <v>2</v>
      </c>
      <c r="K224" s="7">
        <v>280000</v>
      </c>
      <c r="L224" s="7">
        <f t="shared" si="10"/>
        <v>560000</v>
      </c>
      <c r="M224" s="5" t="s">
        <v>43</v>
      </c>
      <c r="N224" s="6" t="str">
        <f t="shared" si="11"/>
        <v>Menipis</v>
      </c>
      <c r="O224" s="5" t="s">
        <v>86</v>
      </c>
    </row>
    <row r="225" spans="1:15" x14ac:dyDescent="0.35">
      <c r="A225" s="2" t="s">
        <v>480</v>
      </c>
      <c r="B225" s="2" t="s">
        <v>95</v>
      </c>
      <c r="C225" s="2" t="s">
        <v>62</v>
      </c>
      <c r="D225" s="2" t="s">
        <v>63</v>
      </c>
      <c r="E225" s="2" t="s">
        <v>68</v>
      </c>
      <c r="F225" s="3" t="s">
        <v>84</v>
      </c>
      <c r="G225" s="3" t="s">
        <v>225</v>
      </c>
      <c r="H225" s="4">
        <v>20</v>
      </c>
      <c r="I225" s="4">
        <v>9</v>
      </c>
      <c r="J225" s="4">
        <f t="shared" si="9"/>
        <v>11</v>
      </c>
      <c r="K225" s="4">
        <v>850000</v>
      </c>
      <c r="L225" s="4">
        <f t="shared" si="10"/>
        <v>9350000</v>
      </c>
      <c r="M225" s="2" t="s">
        <v>22</v>
      </c>
      <c r="N225" s="3" t="str">
        <f t="shared" si="11"/>
        <v>Tersedia</v>
      </c>
      <c r="O225" s="2" t="s">
        <v>36</v>
      </c>
    </row>
    <row r="226" spans="1:15" x14ac:dyDescent="0.35">
      <c r="A226" s="5" t="s">
        <v>481</v>
      </c>
      <c r="B226" s="5" t="s">
        <v>67</v>
      </c>
      <c r="C226" s="5" t="s">
        <v>39</v>
      </c>
      <c r="D226" s="5" t="s">
        <v>40</v>
      </c>
      <c r="E226" s="5" t="s">
        <v>47</v>
      </c>
      <c r="F226" s="6" t="s">
        <v>171</v>
      </c>
      <c r="G226" s="6" t="s">
        <v>48</v>
      </c>
      <c r="H226" s="7">
        <v>10</v>
      </c>
      <c r="I226" s="7">
        <v>4</v>
      </c>
      <c r="J226" s="7">
        <f t="shared" si="9"/>
        <v>6</v>
      </c>
      <c r="K226" s="7">
        <v>3800000</v>
      </c>
      <c r="L226" s="7">
        <f t="shared" si="10"/>
        <v>22800000</v>
      </c>
      <c r="M226" s="5" t="s">
        <v>35</v>
      </c>
      <c r="N226" s="6" t="str">
        <f t="shared" si="11"/>
        <v>Tersedia</v>
      </c>
      <c r="O226" s="5" t="s">
        <v>44</v>
      </c>
    </row>
    <row r="227" spans="1:15" x14ac:dyDescent="0.35">
      <c r="A227" s="2" t="s">
        <v>482</v>
      </c>
      <c r="B227" s="2" t="s">
        <v>16</v>
      </c>
      <c r="C227" s="2" t="s">
        <v>17</v>
      </c>
      <c r="D227" s="2" t="s">
        <v>18</v>
      </c>
      <c r="E227" s="2" t="s">
        <v>64</v>
      </c>
      <c r="F227" s="3" t="s">
        <v>483</v>
      </c>
      <c r="G227" s="3"/>
      <c r="H227" s="4">
        <v>100</v>
      </c>
      <c r="I227" s="4">
        <v>0</v>
      </c>
      <c r="J227" s="4">
        <f t="shared" si="9"/>
        <v>100</v>
      </c>
      <c r="K227" s="4">
        <v>45000</v>
      </c>
      <c r="L227" s="4">
        <f t="shared" si="10"/>
        <v>4500000</v>
      </c>
      <c r="M227" s="2" t="s">
        <v>22</v>
      </c>
      <c r="N227" s="3" t="str">
        <f t="shared" si="11"/>
        <v>Tersedia</v>
      </c>
      <c r="O227" s="2" t="s">
        <v>36</v>
      </c>
    </row>
    <row r="228" spans="1:15" x14ac:dyDescent="0.35">
      <c r="A228" s="5" t="s">
        <v>484</v>
      </c>
      <c r="B228" s="5" t="s">
        <v>95</v>
      </c>
      <c r="C228" s="5" t="s">
        <v>62</v>
      </c>
      <c r="D228" s="5" t="s">
        <v>63</v>
      </c>
      <c r="E228" s="5" t="s">
        <v>34</v>
      </c>
      <c r="F228" s="6" t="s">
        <v>467</v>
      </c>
      <c r="G228" s="6" t="s">
        <v>485</v>
      </c>
      <c r="H228" s="7">
        <v>150</v>
      </c>
      <c r="I228" s="7">
        <v>118</v>
      </c>
      <c r="J228" s="7">
        <f t="shared" si="9"/>
        <v>32</v>
      </c>
      <c r="K228" s="7">
        <v>850000</v>
      </c>
      <c r="L228" s="7">
        <f t="shared" si="10"/>
        <v>27200000</v>
      </c>
      <c r="M228" s="5" t="s">
        <v>22</v>
      </c>
      <c r="N228" s="6" t="str">
        <f t="shared" si="11"/>
        <v>Tersedia</v>
      </c>
      <c r="O228" s="5" t="s">
        <v>76</v>
      </c>
    </row>
    <row r="229" spans="1:15" x14ac:dyDescent="0.35">
      <c r="A229" s="2" t="s">
        <v>486</v>
      </c>
      <c r="B229" s="2" t="s">
        <v>158</v>
      </c>
      <c r="C229" s="2" t="s">
        <v>26</v>
      </c>
      <c r="D229" s="2" t="s">
        <v>27</v>
      </c>
      <c r="E229" s="2" t="s">
        <v>19</v>
      </c>
      <c r="F229" s="3" t="s">
        <v>148</v>
      </c>
      <c r="G229" s="3" t="s">
        <v>145</v>
      </c>
      <c r="H229" s="4">
        <v>50</v>
      </c>
      <c r="I229" s="4">
        <v>8</v>
      </c>
      <c r="J229" s="4">
        <f t="shared" si="9"/>
        <v>42</v>
      </c>
      <c r="K229" s="4">
        <v>65000</v>
      </c>
      <c r="L229" s="4">
        <f t="shared" si="10"/>
        <v>2730000</v>
      </c>
      <c r="M229" s="2" t="s">
        <v>22</v>
      </c>
      <c r="N229" s="3" t="str">
        <f t="shared" si="11"/>
        <v>Tersedia</v>
      </c>
      <c r="O229" s="2" t="s">
        <v>44</v>
      </c>
    </row>
    <row r="230" spans="1:15" x14ac:dyDescent="0.35">
      <c r="A230" s="5" t="s">
        <v>237</v>
      </c>
      <c r="B230" s="5" t="s">
        <v>33</v>
      </c>
      <c r="C230" s="5" t="s">
        <v>26</v>
      </c>
      <c r="D230" s="5" t="s">
        <v>27</v>
      </c>
      <c r="E230" s="5" t="s">
        <v>96</v>
      </c>
      <c r="F230" s="6" t="s">
        <v>469</v>
      </c>
      <c r="G230" s="6" t="s">
        <v>487</v>
      </c>
      <c r="H230" s="7">
        <v>20</v>
      </c>
      <c r="I230" s="7">
        <v>20</v>
      </c>
      <c r="J230" s="7">
        <f t="shared" si="9"/>
        <v>0</v>
      </c>
      <c r="K230" s="7">
        <v>12000</v>
      </c>
      <c r="L230" s="7">
        <f t="shared" si="10"/>
        <v>0</v>
      </c>
      <c r="M230" s="5" t="s">
        <v>85</v>
      </c>
      <c r="N230" s="6" t="str">
        <f t="shared" si="11"/>
        <v>Habis</v>
      </c>
      <c r="O230" s="5" t="s">
        <v>31</v>
      </c>
    </row>
    <row r="231" spans="1:15" x14ac:dyDescent="0.35">
      <c r="A231" s="2" t="s">
        <v>176</v>
      </c>
      <c r="B231" s="2" t="s">
        <v>158</v>
      </c>
      <c r="C231" s="2" t="s">
        <v>26</v>
      </c>
      <c r="D231" s="2" t="s">
        <v>27</v>
      </c>
      <c r="E231" s="2" t="s">
        <v>101</v>
      </c>
      <c r="F231" s="3" t="s">
        <v>488</v>
      </c>
      <c r="G231" s="3" t="s">
        <v>227</v>
      </c>
      <c r="H231" s="4">
        <v>100</v>
      </c>
      <c r="I231" s="4">
        <v>89</v>
      </c>
      <c r="J231" s="4">
        <f t="shared" si="9"/>
        <v>11</v>
      </c>
      <c r="K231" s="4">
        <v>65000</v>
      </c>
      <c r="L231" s="4">
        <f t="shared" si="10"/>
        <v>715000</v>
      </c>
      <c r="M231" s="2" t="s">
        <v>43</v>
      </c>
      <c r="N231" s="3" t="str">
        <f t="shared" si="11"/>
        <v>Tersedia</v>
      </c>
      <c r="O231" s="2" t="s">
        <v>44</v>
      </c>
    </row>
    <row r="232" spans="1:15" x14ac:dyDescent="0.35">
      <c r="A232" s="5" t="s">
        <v>489</v>
      </c>
      <c r="B232" s="5" t="s">
        <v>217</v>
      </c>
      <c r="C232" s="5" t="s">
        <v>26</v>
      </c>
      <c r="D232" s="5" t="s">
        <v>27</v>
      </c>
      <c r="E232" s="5" t="s">
        <v>47</v>
      </c>
      <c r="F232" s="6" t="s">
        <v>274</v>
      </c>
      <c r="G232" s="6"/>
      <c r="H232" s="7">
        <v>20</v>
      </c>
      <c r="I232" s="7">
        <v>0</v>
      </c>
      <c r="J232" s="7">
        <f t="shared" si="9"/>
        <v>20</v>
      </c>
      <c r="K232" s="7">
        <v>55000</v>
      </c>
      <c r="L232" s="7">
        <f t="shared" si="10"/>
        <v>1100000</v>
      </c>
      <c r="M232" s="5" t="s">
        <v>30</v>
      </c>
      <c r="N232" s="6" t="str">
        <f t="shared" si="11"/>
        <v>Tersedia</v>
      </c>
      <c r="O232" s="5" t="s">
        <v>23</v>
      </c>
    </row>
    <row r="233" spans="1:15" x14ac:dyDescent="0.35">
      <c r="A233" s="2" t="s">
        <v>490</v>
      </c>
      <c r="B233" s="2" t="s">
        <v>114</v>
      </c>
      <c r="C233" s="2" t="s">
        <v>17</v>
      </c>
      <c r="D233" s="2" t="s">
        <v>18</v>
      </c>
      <c r="E233" s="2" t="s">
        <v>19</v>
      </c>
      <c r="F233" s="3" t="s">
        <v>491</v>
      </c>
      <c r="G233" s="3"/>
      <c r="H233" s="4">
        <v>10</v>
      </c>
      <c r="I233" s="4">
        <v>0</v>
      </c>
      <c r="J233" s="4">
        <f t="shared" si="9"/>
        <v>10</v>
      </c>
      <c r="K233" s="4">
        <v>85000</v>
      </c>
      <c r="L233" s="4">
        <f t="shared" si="10"/>
        <v>850000</v>
      </c>
      <c r="M233" s="2" t="s">
        <v>85</v>
      </c>
      <c r="N233" s="3" t="str">
        <f t="shared" si="11"/>
        <v>Tersedia</v>
      </c>
      <c r="O233" s="2" t="s">
        <v>86</v>
      </c>
    </row>
    <row r="234" spans="1:15" x14ac:dyDescent="0.35">
      <c r="A234" s="5" t="s">
        <v>91</v>
      </c>
      <c r="B234" s="5" t="s">
        <v>67</v>
      </c>
      <c r="C234" s="5" t="s">
        <v>39</v>
      </c>
      <c r="D234" s="5" t="s">
        <v>40</v>
      </c>
      <c r="E234" s="5" t="s">
        <v>56</v>
      </c>
      <c r="F234" s="6" t="s">
        <v>264</v>
      </c>
      <c r="G234" s="6"/>
      <c r="H234" s="7">
        <v>2</v>
      </c>
      <c r="I234" s="7">
        <v>0</v>
      </c>
      <c r="J234" s="7">
        <f t="shared" si="9"/>
        <v>2</v>
      </c>
      <c r="K234" s="7">
        <v>3800000</v>
      </c>
      <c r="L234" s="7">
        <f t="shared" si="10"/>
        <v>7600000</v>
      </c>
      <c r="M234" s="5" t="s">
        <v>30</v>
      </c>
      <c r="N234" s="6" t="str">
        <f t="shared" si="11"/>
        <v>Menipis</v>
      </c>
      <c r="O234" s="5" t="s">
        <v>44</v>
      </c>
    </row>
    <row r="235" spans="1:15" x14ac:dyDescent="0.35">
      <c r="A235" s="2" t="s">
        <v>492</v>
      </c>
      <c r="B235" s="2" t="s">
        <v>117</v>
      </c>
      <c r="C235" s="2" t="s">
        <v>81</v>
      </c>
      <c r="D235" s="2" t="s">
        <v>82</v>
      </c>
      <c r="E235" s="2" t="s">
        <v>64</v>
      </c>
      <c r="F235" s="3" t="s">
        <v>370</v>
      </c>
      <c r="G235" s="3" t="s">
        <v>308</v>
      </c>
      <c r="H235" s="4">
        <v>20</v>
      </c>
      <c r="I235" s="4">
        <v>17</v>
      </c>
      <c r="J235" s="4">
        <f t="shared" si="9"/>
        <v>3</v>
      </c>
      <c r="K235" s="4">
        <v>310000</v>
      </c>
      <c r="L235" s="4">
        <f t="shared" si="10"/>
        <v>930000</v>
      </c>
      <c r="M235" s="2" t="s">
        <v>30</v>
      </c>
      <c r="N235" s="3" t="str">
        <f t="shared" si="11"/>
        <v>Menipis</v>
      </c>
      <c r="O235" s="2" t="s">
        <v>44</v>
      </c>
    </row>
    <row r="236" spans="1:15" x14ac:dyDescent="0.35">
      <c r="A236" s="5" t="s">
        <v>343</v>
      </c>
      <c r="B236" s="5" t="s">
        <v>51</v>
      </c>
      <c r="C236" s="5" t="s">
        <v>17</v>
      </c>
      <c r="D236" s="5" t="s">
        <v>18</v>
      </c>
      <c r="E236" s="5" t="s">
        <v>56</v>
      </c>
      <c r="F236" s="6" t="s">
        <v>97</v>
      </c>
      <c r="G236" s="6"/>
      <c r="H236" s="7">
        <v>10</v>
      </c>
      <c r="I236" s="7">
        <v>0</v>
      </c>
      <c r="J236" s="7">
        <f t="shared" si="9"/>
        <v>10</v>
      </c>
      <c r="K236" s="7">
        <v>150000</v>
      </c>
      <c r="L236" s="7">
        <f t="shared" si="10"/>
        <v>1500000</v>
      </c>
      <c r="M236" s="5" t="s">
        <v>30</v>
      </c>
      <c r="N236" s="6" t="str">
        <f t="shared" si="11"/>
        <v>Tersedia</v>
      </c>
      <c r="O236" s="5" t="s">
        <v>44</v>
      </c>
    </row>
    <row r="237" spans="1:15" x14ac:dyDescent="0.35">
      <c r="A237" s="2" t="s">
        <v>493</v>
      </c>
      <c r="B237" s="2" t="s">
        <v>117</v>
      </c>
      <c r="C237" s="2" t="s">
        <v>81</v>
      </c>
      <c r="D237" s="2" t="s">
        <v>82</v>
      </c>
      <c r="E237" s="2" t="s">
        <v>34</v>
      </c>
      <c r="F237" s="3" t="s">
        <v>494</v>
      </c>
      <c r="G237" s="3"/>
      <c r="H237" s="4">
        <v>150</v>
      </c>
      <c r="I237" s="4">
        <v>0</v>
      </c>
      <c r="J237" s="4">
        <f t="shared" si="9"/>
        <v>150</v>
      </c>
      <c r="K237" s="4">
        <v>310000</v>
      </c>
      <c r="L237" s="4">
        <f t="shared" si="10"/>
        <v>46500000</v>
      </c>
      <c r="M237" s="2" t="s">
        <v>35</v>
      </c>
      <c r="N237" s="3" t="str">
        <f t="shared" si="11"/>
        <v>Tersedia</v>
      </c>
      <c r="O237" s="2" t="s">
        <v>31</v>
      </c>
    </row>
    <row r="238" spans="1:15" x14ac:dyDescent="0.35">
      <c r="A238" s="5" t="s">
        <v>495</v>
      </c>
      <c r="B238" s="5" t="s">
        <v>25</v>
      </c>
      <c r="C238" s="5" t="s">
        <v>26</v>
      </c>
      <c r="D238" s="5" t="s">
        <v>27</v>
      </c>
      <c r="E238" s="5" t="s">
        <v>68</v>
      </c>
      <c r="F238" s="6" t="s">
        <v>439</v>
      </c>
      <c r="G238" s="6" t="s">
        <v>110</v>
      </c>
      <c r="H238" s="7">
        <v>50</v>
      </c>
      <c r="I238" s="7">
        <v>25</v>
      </c>
      <c r="J238" s="7">
        <f t="shared" si="9"/>
        <v>25</v>
      </c>
      <c r="K238" s="7">
        <v>45000</v>
      </c>
      <c r="L238" s="7">
        <f t="shared" si="10"/>
        <v>1125000</v>
      </c>
      <c r="M238" s="5" t="s">
        <v>85</v>
      </c>
      <c r="N238" s="6" t="str">
        <f t="shared" si="11"/>
        <v>Tersedia</v>
      </c>
      <c r="O238" s="5" t="s">
        <v>31</v>
      </c>
    </row>
    <row r="239" spans="1:15" x14ac:dyDescent="0.35">
      <c r="A239" s="2" t="s">
        <v>496</v>
      </c>
      <c r="B239" s="2" t="s">
        <v>80</v>
      </c>
      <c r="C239" s="2" t="s">
        <v>81</v>
      </c>
      <c r="D239" s="2" t="s">
        <v>82</v>
      </c>
      <c r="E239" s="2" t="s">
        <v>64</v>
      </c>
      <c r="F239" s="3" t="s">
        <v>247</v>
      </c>
      <c r="G239" s="3" t="s">
        <v>248</v>
      </c>
      <c r="H239" s="4">
        <v>100</v>
      </c>
      <c r="I239" s="4">
        <v>77</v>
      </c>
      <c r="J239" s="4">
        <f t="shared" si="9"/>
        <v>23</v>
      </c>
      <c r="K239" s="4">
        <v>280000</v>
      </c>
      <c r="L239" s="4">
        <f t="shared" si="10"/>
        <v>6440000</v>
      </c>
      <c r="M239" s="2" t="s">
        <v>85</v>
      </c>
      <c r="N239" s="3" t="str">
        <f t="shared" si="11"/>
        <v>Tersedia</v>
      </c>
      <c r="O239" s="2" t="s">
        <v>70</v>
      </c>
    </row>
    <row r="240" spans="1:15" x14ac:dyDescent="0.35">
      <c r="A240" s="5" t="s">
        <v>497</v>
      </c>
      <c r="B240" s="5" t="s">
        <v>184</v>
      </c>
      <c r="C240" s="5" t="s">
        <v>62</v>
      </c>
      <c r="D240" s="5" t="s">
        <v>63</v>
      </c>
      <c r="E240" s="5" t="s">
        <v>19</v>
      </c>
      <c r="F240" s="6" t="s">
        <v>171</v>
      </c>
      <c r="G240" s="6" t="s">
        <v>207</v>
      </c>
      <c r="H240" s="7">
        <v>200</v>
      </c>
      <c r="I240" s="7">
        <v>143</v>
      </c>
      <c r="J240" s="7">
        <f t="shared" si="9"/>
        <v>57</v>
      </c>
      <c r="K240" s="7">
        <v>1250000</v>
      </c>
      <c r="L240" s="7">
        <f t="shared" si="10"/>
        <v>71250000</v>
      </c>
      <c r="M240" s="5" t="s">
        <v>35</v>
      </c>
      <c r="N240" s="6" t="str">
        <f t="shared" si="11"/>
        <v>Tersedia</v>
      </c>
      <c r="O240" s="5" t="s">
        <v>36</v>
      </c>
    </row>
    <row r="241" spans="1:15" x14ac:dyDescent="0.35">
      <c r="A241" s="2" t="s">
        <v>367</v>
      </c>
      <c r="B241" s="2" t="s">
        <v>138</v>
      </c>
      <c r="C241" s="2" t="s">
        <v>62</v>
      </c>
      <c r="D241" s="2" t="s">
        <v>63</v>
      </c>
      <c r="E241" s="2" t="s">
        <v>101</v>
      </c>
      <c r="F241" s="3" t="s">
        <v>363</v>
      </c>
      <c r="G241" s="3" t="s">
        <v>20</v>
      </c>
      <c r="H241" s="4">
        <v>10</v>
      </c>
      <c r="I241" s="4">
        <v>7</v>
      </c>
      <c r="J241" s="4">
        <f t="shared" si="9"/>
        <v>3</v>
      </c>
      <c r="K241" s="4">
        <v>450000</v>
      </c>
      <c r="L241" s="4">
        <f t="shared" si="10"/>
        <v>1350000</v>
      </c>
      <c r="M241" s="2" t="s">
        <v>85</v>
      </c>
      <c r="N241" s="3" t="str">
        <f t="shared" si="11"/>
        <v>Menipis</v>
      </c>
      <c r="O241" s="2" t="s">
        <v>31</v>
      </c>
    </row>
    <row r="242" spans="1:15" x14ac:dyDescent="0.35">
      <c r="A242" s="5" t="s">
        <v>498</v>
      </c>
      <c r="B242" s="5" t="s">
        <v>16</v>
      </c>
      <c r="C242" s="5" t="s">
        <v>17</v>
      </c>
      <c r="D242" s="5" t="s">
        <v>18</v>
      </c>
      <c r="E242" s="5" t="s">
        <v>47</v>
      </c>
      <c r="F242" s="6" t="s">
        <v>395</v>
      </c>
      <c r="G242" s="6" t="s">
        <v>499</v>
      </c>
      <c r="H242" s="7">
        <v>20</v>
      </c>
      <c r="I242" s="7">
        <v>7</v>
      </c>
      <c r="J242" s="7">
        <f t="shared" si="9"/>
        <v>13</v>
      </c>
      <c r="K242" s="7">
        <v>45000</v>
      </c>
      <c r="L242" s="7">
        <f t="shared" si="10"/>
        <v>585000</v>
      </c>
      <c r="M242" s="5" t="s">
        <v>22</v>
      </c>
      <c r="N242" s="6" t="str">
        <f t="shared" si="11"/>
        <v>Tersedia</v>
      </c>
      <c r="O242" s="5" t="s">
        <v>36</v>
      </c>
    </row>
    <row r="243" spans="1:15" x14ac:dyDescent="0.35">
      <c r="A243" s="2" t="s">
        <v>486</v>
      </c>
      <c r="B243" s="2" t="s">
        <v>217</v>
      </c>
      <c r="C243" s="2" t="s">
        <v>26</v>
      </c>
      <c r="D243" s="2" t="s">
        <v>27</v>
      </c>
      <c r="E243" s="2" t="s">
        <v>47</v>
      </c>
      <c r="F243" s="3" t="s">
        <v>84</v>
      </c>
      <c r="G243" s="3" t="s">
        <v>413</v>
      </c>
      <c r="H243" s="4">
        <v>50</v>
      </c>
      <c r="I243" s="4">
        <v>40</v>
      </c>
      <c r="J243" s="4">
        <f t="shared" si="9"/>
        <v>10</v>
      </c>
      <c r="K243" s="4">
        <v>55000</v>
      </c>
      <c r="L243" s="4">
        <f t="shared" si="10"/>
        <v>550000</v>
      </c>
      <c r="M243" s="2" t="s">
        <v>85</v>
      </c>
      <c r="N243" s="3" t="str">
        <f t="shared" si="11"/>
        <v>Tersedia</v>
      </c>
      <c r="O243" s="2" t="s">
        <v>59</v>
      </c>
    </row>
    <row r="244" spans="1:15" x14ac:dyDescent="0.35">
      <c r="A244" s="5" t="s">
        <v>500</v>
      </c>
      <c r="B244" s="5" t="s">
        <v>61</v>
      </c>
      <c r="C244" s="5" t="s">
        <v>62</v>
      </c>
      <c r="D244" s="5" t="s">
        <v>63</v>
      </c>
      <c r="E244" s="5" t="s">
        <v>19</v>
      </c>
      <c r="F244" s="6" t="s">
        <v>292</v>
      </c>
      <c r="G244" s="6" t="s">
        <v>375</v>
      </c>
      <c r="H244" s="7">
        <v>150</v>
      </c>
      <c r="I244" s="7">
        <v>65</v>
      </c>
      <c r="J244" s="7">
        <f t="shared" si="9"/>
        <v>85</v>
      </c>
      <c r="K244" s="7">
        <v>350000</v>
      </c>
      <c r="L244" s="7">
        <f t="shared" si="10"/>
        <v>29750000</v>
      </c>
      <c r="M244" s="5" t="s">
        <v>43</v>
      </c>
      <c r="N244" s="6" t="str">
        <f t="shared" si="11"/>
        <v>Tersedia</v>
      </c>
      <c r="O244" s="5" t="s">
        <v>70</v>
      </c>
    </row>
    <row r="245" spans="1:15" x14ac:dyDescent="0.35">
      <c r="A245" s="2" t="s">
        <v>321</v>
      </c>
      <c r="B245" s="2" t="s">
        <v>46</v>
      </c>
      <c r="C245" s="2" t="s">
        <v>26</v>
      </c>
      <c r="D245" s="2" t="s">
        <v>27</v>
      </c>
      <c r="E245" s="2" t="s">
        <v>56</v>
      </c>
      <c r="F245" s="3" t="s">
        <v>224</v>
      </c>
      <c r="G245" s="3"/>
      <c r="H245" s="4">
        <v>200</v>
      </c>
      <c r="I245" s="4">
        <v>0</v>
      </c>
      <c r="J245" s="4">
        <f t="shared" si="9"/>
        <v>200</v>
      </c>
      <c r="K245" s="4">
        <v>35000</v>
      </c>
      <c r="L245" s="4">
        <f t="shared" si="10"/>
        <v>7000000</v>
      </c>
      <c r="M245" s="2" t="s">
        <v>22</v>
      </c>
      <c r="N245" s="3" t="str">
        <f t="shared" si="11"/>
        <v>Tersedia</v>
      </c>
      <c r="O245" s="2" t="s">
        <v>59</v>
      </c>
    </row>
    <row r="246" spans="1:15" x14ac:dyDescent="0.35">
      <c r="A246" s="5" t="s">
        <v>501</v>
      </c>
      <c r="B246" s="5" t="s">
        <v>158</v>
      </c>
      <c r="C246" s="5" t="s">
        <v>26</v>
      </c>
      <c r="D246" s="5" t="s">
        <v>27</v>
      </c>
      <c r="E246" s="5" t="s">
        <v>52</v>
      </c>
      <c r="F246" s="6" t="s">
        <v>75</v>
      </c>
      <c r="G246" s="6" t="s">
        <v>502</v>
      </c>
      <c r="H246" s="7">
        <v>100</v>
      </c>
      <c r="I246" s="7">
        <v>64</v>
      </c>
      <c r="J246" s="7">
        <f t="shared" si="9"/>
        <v>36</v>
      </c>
      <c r="K246" s="7">
        <v>65000</v>
      </c>
      <c r="L246" s="7">
        <f t="shared" si="10"/>
        <v>2340000</v>
      </c>
      <c r="M246" s="5" t="s">
        <v>43</v>
      </c>
      <c r="N246" s="6" t="str">
        <f t="shared" si="11"/>
        <v>Tersedia</v>
      </c>
      <c r="O246" s="5" t="s">
        <v>59</v>
      </c>
    </row>
    <row r="247" spans="1:15" x14ac:dyDescent="0.35">
      <c r="A247" s="2" t="s">
        <v>503</v>
      </c>
      <c r="B247" s="2" t="s">
        <v>117</v>
      </c>
      <c r="C247" s="2" t="s">
        <v>81</v>
      </c>
      <c r="D247" s="2" t="s">
        <v>82</v>
      </c>
      <c r="E247" s="2" t="s">
        <v>52</v>
      </c>
      <c r="F247" s="3" t="s">
        <v>494</v>
      </c>
      <c r="G247" s="3" t="s">
        <v>112</v>
      </c>
      <c r="H247" s="4">
        <v>10</v>
      </c>
      <c r="I247" s="4">
        <v>8</v>
      </c>
      <c r="J247" s="4">
        <f t="shared" si="9"/>
        <v>2</v>
      </c>
      <c r="K247" s="4">
        <v>310000</v>
      </c>
      <c r="L247" s="4">
        <f t="shared" si="10"/>
        <v>620000</v>
      </c>
      <c r="M247" s="2" t="s">
        <v>22</v>
      </c>
      <c r="N247" s="3" t="str">
        <f t="shared" si="11"/>
        <v>Menipis</v>
      </c>
      <c r="O247" s="2" t="s">
        <v>31</v>
      </c>
    </row>
    <row r="248" spans="1:15" x14ac:dyDescent="0.35">
      <c r="A248" s="5" t="s">
        <v>79</v>
      </c>
      <c r="B248" s="5" t="s">
        <v>206</v>
      </c>
      <c r="C248" s="5" t="s">
        <v>73</v>
      </c>
      <c r="D248" s="5" t="s">
        <v>74</v>
      </c>
      <c r="E248" s="5" t="s">
        <v>34</v>
      </c>
      <c r="F248" s="6" t="s">
        <v>404</v>
      </c>
      <c r="G248" s="6" t="s">
        <v>121</v>
      </c>
      <c r="H248" s="7">
        <v>20</v>
      </c>
      <c r="I248" s="7">
        <v>17</v>
      </c>
      <c r="J248" s="7">
        <f t="shared" si="9"/>
        <v>3</v>
      </c>
      <c r="K248" s="7">
        <v>45000</v>
      </c>
      <c r="L248" s="7">
        <f t="shared" si="10"/>
        <v>135000</v>
      </c>
      <c r="M248" s="5" t="s">
        <v>85</v>
      </c>
      <c r="N248" s="6" t="str">
        <f t="shared" si="11"/>
        <v>Menipis</v>
      </c>
      <c r="O248" s="5" t="s">
        <v>86</v>
      </c>
    </row>
    <row r="249" spans="1:15" x14ac:dyDescent="0.35">
      <c r="A249" s="2" t="s">
        <v>504</v>
      </c>
      <c r="B249" s="2" t="s">
        <v>16</v>
      </c>
      <c r="C249" s="2" t="s">
        <v>17</v>
      </c>
      <c r="D249" s="2" t="s">
        <v>18</v>
      </c>
      <c r="E249" s="2" t="s">
        <v>96</v>
      </c>
      <c r="F249" s="3" t="s">
        <v>425</v>
      </c>
      <c r="G249" s="3" t="s">
        <v>128</v>
      </c>
      <c r="H249" s="4">
        <v>200</v>
      </c>
      <c r="I249" s="4">
        <v>102</v>
      </c>
      <c r="J249" s="4">
        <f t="shared" si="9"/>
        <v>98</v>
      </c>
      <c r="K249" s="4">
        <v>45000</v>
      </c>
      <c r="L249" s="4">
        <f t="shared" si="10"/>
        <v>4410000</v>
      </c>
      <c r="M249" s="2" t="s">
        <v>22</v>
      </c>
      <c r="N249" s="3" t="str">
        <f t="shared" si="11"/>
        <v>Tersedia</v>
      </c>
      <c r="O249" s="2" t="s">
        <v>23</v>
      </c>
    </row>
    <row r="250" spans="1:15" x14ac:dyDescent="0.35">
      <c r="A250" s="5" t="s">
        <v>505</v>
      </c>
      <c r="B250" s="5" t="s">
        <v>184</v>
      </c>
      <c r="C250" s="5" t="s">
        <v>62</v>
      </c>
      <c r="D250" s="5" t="s">
        <v>63</v>
      </c>
      <c r="E250" s="5" t="s">
        <v>64</v>
      </c>
      <c r="F250" s="6" t="s">
        <v>448</v>
      </c>
      <c r="G250" s="6" t="s">
        <v>506</v>
      </c>
      <c r="H250" s="7">
        <v>20</v>
      </c>
      <c r="I250" s="7">
        <v>20</v>
      </c>
      <c r="J250" s="7">
        <f t="shared" si="9"/>
        <v>0</v>
      </c>
      <c r="K250" s="7">
        <v>1250000</v>
      </c>
      <c r="L250" s="7">
        <f t="shared" si="10"/>
        <v>0</v>
      </c>
      <c r="M250" s="5" t="s">
        <v>85</v>
      </c>
      <c r="N250" s="6" t="str">
        <f t="shared" si="11"/>
        <v>Habis</v>
      </c>
      <c r="O250" s="5" t="s">
        <v>44</v>
      </c>
    </row>
    <row r="251" spans="1:15" x14ac:dyDescent="0.35">
      <c r="A251" s="2" t="s">
        <v>493</v>
      </c>
      <c r="B251" s="2" t="s">
        <v>72</v>
      </c>
      <c r="C251" s="2" t="s">
        <v>73</v>
      </c>
      <c r="D251" s="2" t="s">
        <v>74</v>
      </c>
      <c r="E251" s="2" t="s">
        <v>19</v>
      </c>
      <c r="F251" s="3" t="s">
        <v>341</v>
      </c>
      <c r="G251" s="3" t="s">
        <v>110</v>
      </c>
      <c r="H251" s="4">
        <v>200</v>
      </c>
      <c r="I251" s="4">
        <v>34</v>
      </c>
      <c r="J251" s="4">
        <f t="shared" si="9"/>
        <v>166</v>
      </c>
      <c r="K251" s="4">
        <v>240000</v>
      </c>
      <c r="L251" s="4">
        <f t="shared" si="10"/>
        <v>39840000</v>
      </c>
      <c r="M251" s="2" t="s">
        <v>22</v>
      </c>
      <c r="N251" s="3" t="str">
        <f t="shared" si="11"/>
        <v>Tersedia</v>
      </c>
      <c r="O251" s="2" t="s">
        <v>31</v>
      </c>
    </row>
    <row r="252" spans="1:15" x14ac:dyDescent="0.35">
      <c r="A252" s="5" t="s">
        <v>507</v>
      </c>
      <c r="B252" s="5" t="s">
        <v>38</v>
      </c>
      <c r="C252" s="5" t="s">
        <v>39</v>
      </c>
      <c r="D252" s="5" t="s">
        <v>40</v>
      </c>
      <c r="E252" s="5" t="s">
        <v>52</v>
      </c>
      <c r="F252" s="6" t="s">
        <v>508</v>
      </c>
      <c r="G252" s="6" t="s">
        <v>509</v>
      </c>
      <c r="H252" s="7">
        <v>10</v>
      </c>
      <c r="I252" s="7">
        <v>2</v>
      </c>
      <c r="J252" s="7">
        <f t="shared" si="9"/>
        <v>8</v>
      </c>
      <c r="K252" s="7">
        <v>4500000</v>
      </c>
      <c r="L252" s="7">
        <f t="shared" si="10"/>
        <v>36000000</v>
      </c>
      <c r="M252" s="5" t="s">
        <v>85</v>
      </c>
      <c r="N252" s="6" t="str">
        <f t="shared" si="11"/>
        <v>Tersedia</v>
      </c>
      <c r="O252" s="5" t="s">
        <v>70</v>
      </c>
    </row>
    <row r="253" spans="1:15" x14ac:dyDescent="0.35">
      <c r="A253" s="2" t="s">
        <v>507</v>
      </c>
      <c r="B253" s="2" t="s">
        <v>67</v>
      </c>
      <c r="C253" s="2" t="s">
        <v>39</v>
      </c>
      <c r="D253" s="2" t="s">
        <v>40</v>
      </c>
      <c r="E253" s="2" t="s">
        <v>101</v>
      </c>
      <c r="F253" s="3" t="s">
        <v>42</v>
      </c>
      <c r="G253" s="3" t="s">
        <v>510</v>
      </c>
      <c r="H253" s="4">
        <v>5</v>
      </c>
      <c r="I253" s="4">
        <v>4</v>
      </c>
      <c r="J253" s="4">
        <f t="shared" si="9"/>
        <v>1</v>
      </c>
      <c r="K253" s="4">
        <v>3800000</v>
      </c>
      <c r="L253" s="4">
        <f t="shared" si="10"/>
        <v>3800000</v>
      </c>
      <c r="M253" s="2" t="s">
        <v>30</v>
      </c>
      <c r="N253" s="3" t="str">
        <f t="shared" si="11"/>
        <v>Menipis</v>
      </c>
      <c r="O253" s="2" t="s">
        <v>70</v>
      </c>
    </row>
    <row r="254" spans="1:15" x14ac:dyDescent="0.35">
      <c r="A254" s="5" t="s">
        <v>460</v>
      </c>
      <c r="B254" s="5" t="s">
        <v>117</v>
      </c>
      <c r="C254" s="5" t="s">
        <v>81</v>
      </c>
      <c r="D254" s="5" t="s">
        <v>82</v>
      </c>
      <c r="E254" s="5" t="s">
        <v>68</v>
      </c>
      <c r="F254" s="6" t="s">
        <v>255</v>
      </c>
      <c r="G254" s="6" t="s">
        <v>483</v>
      </c>
      <c r="H254" s="7">
        <v>200</v>
      </c>
      <c r="I254" s="7">
        <v>61</v>
      </c>
      <c r="J254" s="7">
        <f t="shared" si="9"/>
        <v>139</v>
      </c>
      <c r="K254" s="7">
        <v>310000</v>
      </c>
      <c r="L254" s="7">
        <f t="shared" si="10"/>
        <v>43090000</v>
      </c>
      <c r="M254" s="5" t="s">
        <v>43</v>
      </c>
      <c r="N254" s="6" t="str">
        <f t="shared" si="11"/>
        <v>Tersedia</v>
      </c>
      <c r="O254" s="5" t="s">
        <v>44</v>
      </c>
    </row>
    <row r="255" spans="1:15" x14ac:dyDescent="0.35">
      <c r="A255" s="2" t="s">
        <v>507</v>
      </c>
      <c r="B255" s="2" t="s">
        <v>144</v>
      </c>
      <c r="C255" s="2" t="s">
        <v>39</v>
      </c>
      <c r="D255" s="2" t="s">
        <v>40</v>
      </c>
      <c r="E255" s="2" t="s">
        <v>96</v>
      </c>
      <c r="F255" s="3" t="s">
        <v>377</v>
      </c>
      <c r="G255" s="3" t="s">
        <v>511</v>
      </c>
      <c r="H255" s="4">
        <v>2</v>
      </c>
      <c r="I255" s="4">
        <v>1</v>
      </c>
      <c r="J255" s="4">
        <f t="shared" si="9"/>
        <v>1</v>
      </c>
      <c r="K255" s="4">
        <v>2450000</v>
      </c>
      <c r="L255" s="4">
        <f t="shared" si="10"/>
        <v>2450000</v>
      </c>
      <c r="M255" s="2" t="s">
        <v>85</v>
      </c>
      <c r="N255" s="3" t="str">
        <f t="shared" si="11"/>
        <v>Menipis</v>
      </c>
      <c r="O255" s="2" t="s">
        <v>86</v>
      </c>
    </row>
    <row r="256" spans="1:15" x14ac:dyDescent="0.35">
      <c r="A256" s="5" t="s">
        <v>512</v>
      </c>
      <c r="B256" s="5" t="s">
        <v>88</v>
      </c>
      <c r="C256" s="5" t="s">
        <v>73</v>
      </c>
      <c r="D256" s="5" t="s">
        <v>74</v>
      </c>
      <c r="E256" s="5" t="s">
        <v>47</v>
      </c>
      <c r="F256" s="6" t="s">
        <v>89</v>
      </c>
      <c r="G256" s="6" t="s">
        <v>118</v>
      </c>
      <c r="H256" s="7">
        <v>150</v>
      </c>
      <c r="I256" s="7">
        <v>62</v>
      </c>
      <c r="J256" s="7">
        <f t="shared" si="9"/>
        <v>88</v>
      </c>
      <c r="K256" s="7">
        <v>650000</v>
      </c>
      <c r="L256" s="7">
        <f t="shared" si="10"/>
        <v>57200000</v>
      </c>
      <c r="M256" s="5" t="s">
        <v>35</v>
      </c>
      <c r="N256" s="6" t="str">
        <f t="shared" si="11"/>
        <v>Tersedia</v>
      </c>
      <c r="O256" s="5" t="s">
        <v>70</v>
      </c>
    </row>
    <row r="257" spans="1:15" x14ac:dyDescent="0.35">
      <c r="A257" s="2" t="s">
        <v>223</v>
      </c>
      <c r="B257" s="2" t="s">
        <v>150</v>
      </c>
      <c r="C257" s="2" t="s">
        <v>81</v>
      </c>
      <c r="D257" s="2" t="s">
        <v>82</v>
      </c>
      <c r="E257" s="2" t="s">
        <v>64</v>
      </c>
      <c r="F257" s="3" t="s">
        <v>130</v>
      </c>
      <c r="G257" s="3" t="s">
        <v>285</v>
      </c>
      <c r="H257" s="4">
        <v>10</v>
      </c>
      <c r="I257" s="4">
        <v>6</v>
      </c>
      <c r="J257" s="4">
        <f t="shared" si="9"/>
        <v>4</v>
      </c>
      <c r="K257" s="4">
        <v>85000</v>
      </c>
      <c r="L257" s="4">
        <f t="shared" si="10"/>
        <v>340000</v>
      </c>
      <c r="M257" s="2" t="s">
        <v>35</v>
      </c>
      <c r="N257" s="3" t="str">
        <f t="shared" si="11"/>
        <v>Menipis</v>
      </c>
      <c r="O257" s="2" t="s">
        <v>70</v>
      </c>
    </row>
    <row r="258" spans="1:15" x14ac:dyDescent="0.35">
      <c r="A258" s="5" t="s">
        <v>498</v>
      </c>
      <c r="B258" s="5" t="s">
        <v>165</v>
      </c>
      <c r="C258" s="5" t="s">
        <v>17</v>
      </c>
      <c r="D258" s="5" t="s">
        <v>18</v>
      </c>
      <c r="E258" s="5" t="s">
        <v>56</v>
      </c>
      <c r="F258" s="6" t="s">
        <v>429</v>
      </c>
      <c r="G258" s="6"/>
      <c r="H258" s="7">
        <v>100</v>
      </c>
      <c r="I258" s="7">
        <v>0</v>
      </c>
      <c r="J258" s="7">
        <f t="shared" si="9"/>
        <v>100</v>
      </c>
      <c r="K258" s="7">
        <v>35000</v>
      </c>
      <c r="L258" s="7">
        <f t="shared" si="10"/>
        <v>3500000</v>
      </c>
      <c r="M258" s="5" t="s">
        <v>85</v>
      </c>
      <c r="N258" s="6" t="str">
        <f t="shared" si="11"/>
        <v>Tersedia</v>
      </c>
      <c r="O258" s="5" t="s">
        <v>59</v>
      </c>
    </row>
    <row r="259" spans="1:15" x14ac:dyDescent="0.35">
      <c r="A259" s="2" t="s">
        <v>410</v>
      </c>
      <c r="B259" s="2" t="s">
        <v>38</v>
      </c>
      <c r="C259" s="2" t="s">
        <v>39</v>
      </c>
      <c r="D259" s="2" t="s">
        <v>40</v>
      </c>
      <c r="E259" s="2" t="s">
        <v>52</v>
      </c>
      <c r="F259" s="3" t="s">
        <v>513</v>
      </c>
      <c r="G259" s="3" t="s">
        <v>514</v>
      </c>
      <c r="H259" s="4">
        <v>5</v>
      </c>
      <c r="I259" s="4">
        <v>1</v>
      </c>
      <c r="J259" s="4">
        <f t="shared" si="9"/>
        <v>4</v>
      </c>
      <c r="K259" s="4">
        <v>4500000</v>
      </c>
      <c r="L259" s="4">
        <f t="shared" si="10"/>
        <v>18000000</v>
      </c>
      <c r="M259" s="2" t="s">
        <v>35</v>
      </c>
      <c r="N259" s="3" t="str">
        <f t="shared" si="11"/>
        <v>Menipis</v>
      </c>
      <c r="O259" s="2" t="s">
        <v>23</v>
      </c>
    </row>
    <row r="260" spans="1:15" x14ac:dyDescent="0.35">
      <c r="A260" s="5" t="s">
        <v>515</v>
      </c>
      <c r="B260" s="5" t="s">
        <v>217</v>
      </c>
      <c r="C260" s="5" t="s">
        <v>26</v>
      </c>
      <c r="D260" s="5" t="s">
        <v>27</v>
      </c>
      <c r="E260" s="5" t="s">
        <v>19</v>
      </c>
      <c r="F260" s="6" t="s">
        <v>516</v>
      </c>
      <c r="G260" s="6" t="s">
        <v>28</v>
      </c>
      <c r="H260" s="7">
        <v>100</v>
      </c>
      <c r="I260" s="7">
        <v>93</v>
      </c>
      <c r="J260" s="7">
        <f t="shared" si="9"/>
        <v>7</v>
      </c>
      <c r="K260" s="7">
        <v>55000</v>
      </c>
      <c r="L260" s="7">
        <f t="shared" si="10"/>
        <v>385000</v>
      </c>
      <c r="M260" s="5" t="s">
        <v>85</v>
      </c>
      <c r="N260" s="6" t="str">
        <f t="shared" si="11"/>
        <v>Tersedia</v>
      </c>
      <c r="O260" s="5" t="s">
        <v>31</v>
      </c>
    </row>
    <row r="261" spans="1:15" x14ac:dyDescent="0.35">
      <c r="A261" s="2" t="s">
        <v>192</v>
      </c>
      <c r="B261" s="2" t="s">
        <v>123</v>
      </c>
      <c r="C261" s="2" t="s">
        <v>81</v>
      </c>
      <c r="D261" s="2" t="s">
        <v>82</v>
      </c>
      <c r="E261" s="2" t="s">
        <v>52</v>
      </c>
      <c r="F261" s="3" t="s">
        <v>105</v>
      </c>
      <c r="G261" s="3" t="s">
        <v>517</v>
      </c>
      <c r="H261" s="4">
        <v>200</v>
      </c>
      <c r="I261" s="4">
        <v>147</v>
      </c>
      <c r="J261" s="4">
        <f t="shared" ref="J261:J314" si="12">H261-I261</f>
        <v>53</v>
      </c>
      <c r="K261" s="4">
        <v>1750000</v>
      </c>
      <c r="L261" s="4">
        <f t="shared" ref="L261:L314" si="13">J261*K261</f>
        <v>92750000</v>
      </c>
      <c r="M261" s="2" t="s">
        <v>35</v>
      </c>
      <c r="N261" s="3" t="str">
        <f t="shared" ref="N261:N314" si="14">IF(J261&lt;=0,"Habis",IF(J261&lt;=5,"Menipis","Tersedia"))</f>
        <v>Tersedia</v>
      </c>
      <c r="O261" s="2" t="s">
        <v>44</v>
      </c>
    </row>
    <row r="262" spans="1:15" x14ac:dyDescent="0.35">
      <c r="A262" s="5" t="s">
        <v>126</v>
      </c>
      <c r="B262" s="5" t="s">
        <v>144</v>
      </c>
      <c r="C262" s="5" t="s">
        <v>39</v>
      </c>
      <c r="D262" s="5" t="s">
        <v>40</v>
      </c>
      <c r="E262" s="5" t="s">
        <v>68</v>
      </c>
      <c r="F262" s="6" t="s">
        <v>518</v>
      </c>
      <c r="G262" s="6"/>
      <c r="H262" s="7">
        <v>2</v>
      </c>
      <c r="I262" s="7">
        <v>0</v>
      </c>
      <c r="J262" s="7">
        <f t="shared" si="12"/>
        <v>2</v>
      </c>
      <c r="K262" s="7">
        <v>2450000</v>
      </c>
      <c r="L262" s="7">
        <f t="shared" si="13"/>
        <v>4900000</v>
      </c>
      <c r="M262" s="5" t="s">
        <v>43</v>
      </c>
      <c r="N262" s="6" t="str">
        <f t="shared" si="14"/>
        <v>Menipis</v>
      </c>
      <c r="O262" s="5" t="s">
        <v>31</v>
      </c>
    </row>
    <row r="263" spans="1:15" x14ac:dyDescent="0.35">
      <c r="A263" s="2" t="s">
        <v>519</v>
      </c>
      <c r="B263" s="2" t="s">
        <v>127</v>
      </c>
      <c r="C263" s="2" t="s">
        <v>39</v>
      </c>
      <c r="D263" s="2" t="s">
        <v>40</v>
      </c>
      <c r="E263" s="2" t="s">
        <v>64</v>
      </c>
      <c r="F263" s="3" t="s">
        <v>520</v>
      </c>
      <c r="G263" s="3" t="s">
        <v>97</v>
      </c>
      <c r="H263" s="4">
        <v>5</v>
      </c>
      <c r="I263" s="4">
        <v>1</v>
      </c>
      <c r="J263" s="4">
        <f t="shared" si="12"/>
        <v>4</v>
      </c>
      <c r="K263" s="4">
        <v>1550000</v>
      </c>
      <c r="L263" s="4">
        <f t="shared" si="13"/>
        <v>6200000</v>
      </c>
      <c r="M263" s="2" t="s">
        <v>30</v>
      </c>
      <c r="N263" s="3" t="str">
        <f t="shared" si="14"/>
        <v>Menipis</v>
      </c>
      <c r="O263" s="2" t="s">
        <v>23</v>
      </c>
    </row>
    <row r="264" spans="1:15" x14ac:dyDescent="0.35">
      <c r="A264" s="5" t="s">
        <v>521</v>
      </c>
      <c r="B264" s="5" t="s">
        <v>165</v>
      </c>
      <c r="C264" s="5" t="s">
        <v>17</v>
      </c>
      <c r="D264" s="5" t="s">
        <v>18</v>
      </c>
      <c r="E264" s="5" t="s">
        <v>47</v>
      </c>
      <c r="F264" s="6" t="s">
        <v>336</v>
      </c>
      <c r="G264" s="6" t="s">
        <v>522</v>
      </c>
      <c r="H264" s="7">
        <v>50</v>
      </c>
      <c r="I264" s="7">
        <v>26</v>
      </c>
      <c r="J264" s="7">
        <f t="shared" si="12"/>
        <v>24</v>
      </c>
      <c r="K264" s="7">
        <v>35000</v>
      </c>
      <c r="L264" s="7">
        <f t="shared" si="13"/>
        <v>840000</v>
      </c>
      <c r="M264" s="5" t="s">
        <v>22</v>
      </c>
      <c r="N264" s="6" t="str">
        <f t="shared" si="14"/>
        <v>Tersedia</v>
      </c>
      <c r="O264" s="5" t="s">
        <v>59</v>
      </c>
    </row>
    <row r="265" spans="1:15" x14ac:dyDescent="0.35">
      <c r="A265" s="2" t="s">
        <v>523</v>
      </c>
      <c r="B265" s="2" t="s">
        <v>88</v>
      </c>
      <c r="C265" s="2" t="s">
        <v>73</v>
      </c>
      <c r="D265" s="2" t="s">
        <v>74</v>
      </c>
      <c r="E265" s="2" t="s">
        <v>52</v>
      </c>
      <c r="F265" s="3" t="s">
        <v>291</v>
      </c>
      <c r="G265" s="3" t="s">
        <v>425</v>
      </c>
      <c r="H265" s="4">
        <v>150</v>
      </c>
      <c r="I265" s="4">
        <v>60</v>
      </c>
      <c r="J265" s="4">
        <f t="shared" si="12"/>
        <v>90</v>
      </c>
      <c r="K265" s="4">
        <v>650000</v>
      </c>
      <c r="L265" s="4">
        <f t="shared" si="13"/>
        <v>58500000</v>
      </c>
      <c r="M265" s="2" t="s">
        <v>30</v>
      </c>
      <c r="N265" s="3" t="str">
        <f t="shared" si="14"/>
        <v>Tersedia</v>
      </c>
      <c r="O265" s="2" t="s">
        <v>70</v>
      </c>
    </row>
    <row r="266" spans="1:15" x14ac:dyDescent="0.35">
      <c r="A266" s="5" t="s">
        <v>221</v>
      </c>
      <c r="B266" s="5" t="s">
        <v>117</v>
      </c>
      <c r="C266" s="5" t="s">
        <v>81</v>
      </c>
      <c r="D266" s="5" t="s">
        <v>82</v>
      </c>
      <c r="E266" s="5" t="s">
        <v>151</v>
      </c>
      <c r="F266" s="6" t="s">
        <v>136</v>
      </c>
      <c r="G266" s="6" t="s">
        <v>220</v>
      </c>
      <c r="H266" s="7">
        <v>50</v>
      </c>
      <c r="I266" s="7">
        <v>16</v>
      </c>
      <c r="J266" s="7">
        <f t="shared" si="12"/>
        <v>34</v>
      </c>
      <c r="K266" s="7">
        <v>310000</v>
      </c>
      <c r="L266" s="7">
        <f t="shared" si="13"/>
        <v>10540000</v>
      </c>
      <c r="M266" s="5" t="s">
        <v>85</v>
      </c>
      <c r="N266" s="6" t="str">
        <f t="shared" si="14"/>
        <v>Tersedia</v>
      </c>
      <c r="O266" s="5" t="s">
        <v>59</v>
      </c>
    </row>
    <row r="267" spans="1:15" x14ac:dyDescent="0.35">
      <c r="A267" s="2" t="s">
        <v>524</v>
      </c>
      <c r="B267" s="2" t="s">
        <v>114</v>
      </c>
      <c r="C267" s="2" t="s">
        <v>17</v>
      </c>
      <c r="D267" s="2" t="s">
        <v>18</v>
      </c>
      <c r="E267" s="2" t="s">
        <v>68</v>
      </c>
      <c r="F267" s="3" t="s">
        <v>525</v>
      </c>
      <c r="G267" s="3"/>
      <c r="H267" s="4">
        <v>200</v>
      </c>
      <c r="I267" s="4">
        <v>0</v>
      </c>
      <c r="J267" s="4">
        <f t="shared" si="12"/>
        <v>200</v>
      </c>
      <c r="K267" s="4">
        <v>85000</v>
      </c>
      <c r="L267" s="4">
        <f t="shared" si="13"/>
        <v>17000000</v>
      </c>
      <c r="M267" s="2" t="s">
        <v>35</v>
      </c>
      <c r="N267" s="3" t="str">
        <f t="shared" si="14"/>
        <v>Tersedia</v>
      </c>
      <c r="O267" s="2" t="s">
        <v>23</v>
      </c>
    </row>
    <row r="268" spans="1:15" x14ac:dyDescent="0.35">
      <c r="A268" s="5" t="s">
        <v>492</v>
      </c>
      <c r="B268" s="5" t="s">
        <v>117</v>
      </c>
      <c r="C268" s="5" t="s">
        <v>81</v>
      </c>
      <c r="D268" s="5" t="s">
        <v>82</v>
      </c>
      <c r="E268" s="5" t="s">
        <v>151</v>
      </c>
      <c r="F268" s="6" t="s">
        <v>264</v>
      </c>
      <c r="G268" s="6" t="s">
        <v>526</v>
      </c>
      <c r="H268" s="7">
        <v>200</v>
      </c>
      <c r="I268" s="7">
        <v>123</v>
      </c>
      <c r="J268" s="7">
        <f t="shared" si="12"/>
        <v>77</v>
      </c>
      <c r="K268" s="7">
        <v>310000</v>
      </c>
      <c r="L268" s="7">
        <f t="shared" si="13"/>
        <v>23870000</v>
      </c>
      <c r="M268" s="5" t="s">
        <v>22</v>
      </c>
      <c r="N268" s="6" t="str">
        <f t="shared" si="14"/>
        <v>Tersedia</v>
      </c>
      <c r="O268" s="5" t="s">
        <v>86</v>
      </c>
    </row>
    <row r="269" spans="1:15" x14ac:dyDescent="0.35">
      <c r="A269" s="2" t="s">
        <v>353</v>
      </c>
      <c r="B269" s="2" t="s">
        <v>80</v>
      </c>
      <c r="C269" s="2" t="s">
        <v>81</v>
      </c>
      <c r="D269" s="2" t="s">
        <v>82</v>
      </c>
      <c r="E269" s="2" t="s">
        <v>64</v>
      </c>
      <c r="F269" s="3" t="s">
        <v>451</v>
      </c>
      <c r="G269" s="3" t="s">
        <v>405</v>
      </c>
      <c r="H269" s="4">
        <v>20</v>
      </c>
      <c r="I269" s="4">
        <v>19</v>
      </c>
      <c r="J269" s="4">
        <f t="shared" si="12"/>
        <v>1</v>
      </c>
      <c r="K269" s="4">
        <v>280000</v>
      </c>
      <c r="L269" s="4">
        <f t="shared" si="13"/>
        <v>280000</v>
      </c>
      <c r="M269" s="2" t="s">
        <v>22</v>
      </c>
      <c r="N269" s="3" t="str">
        <f t="shared" si="14"/>
        <v>Menipis</v>
      </c>
      <c r="O269" s="2" t="s">
        <v>59</v>
      </c>
    </row>
    <row r="270" spans="1:15" x14ac:dyDescent="0.35">
      <c r="A270" s="5" t="s">
        <v>87</v>
      </c>
      <c r="B270" s="5" t="s">
        <v>80</v>
      </c>
      <c r="C270" s="5" t="s">
        <v>81</v>
      </c>
      <c r="D270" s="5" t="s">
        <v>82</v>
      </c>
      <c r="E270" s="5" t="s">
        <v>151</v>
      </c>
      <c r="F270" s="6" t="s">
        <v>289</v>
      </c>
      <c r="G270" s="6" t="s">
        <v>527</v>
      </c>
      <c r="H270" s="7">
        <v>200</v>
      </c>
      <c r="I270" s="7">
        <v>68</v>
      </c>
      <c r="J270" s="7">
        <f t="shared" si="12"/>
        <v>132</v>
      </c>
      <c r="K270" s="7">
        <v>280000</v>
      </c>
      <c r="L270" s="7">
        <f t="shared" si="13"/>
        <v>36960000</v>
      </c>
      <c r="M270" s="5" t="s">
        <v>30</v>
      </c>
      <c r="N270" s="6" t="str">
        <f t="shared" si="14"/>
        <v>Tersedia</v>
      </c>
      <c r="O270" s="5" t="s">
        <v>23</v>
      </c>
    </row>
    <row r="271" spans="1:15" x14ac:dyDescent="0.35">
      <c r="A271" s="2" t="s">
        <v>528</v>
      </c>
      <c r="B271" s="2" t="s">
        <v>206</v>
      </c>
      <c r="C271" s="2" t="s">
        <v>73</v>
      </c>
      <c r="D271" s="2" t="s">
        <v>74</v>
      </c>
      <c r="E271" s="2" t="s">
        <v>52</v>
      </c>
      <c r="F271" s="3" t="s">
        <v>529</v>
      </c>
      <c r="G271" s="3" t="s">
        <v>146</v>
      </c>
      <c r="H271" s="4">
        <v>150</v>
      </c>
      <c r="I271" s="4">
        <v>127</v>
      </c>
      <c r="J271" s="4">
        <f t="shared" si="12"/>
        <v>23</v>
      </c>
      <c r="K271" s="4">
        <v>45000</v>
      </c>
      <c r="L271" s="4">
        <f t="shared" si="13"/>
        <v>1035000</v>
      </c>
      <c r="M271" s="2" t="s">
        <v>85</v>
      </c>
      <c r="N271" s="3" t="str">
        <f t="shared" si="14"/>
        <v>Tersedia</v>
      </c>
      <c r="O271" s="2" t="s">
        <v>70</v>
      </c>
    </row>
    <row r="272" spans="1:15" x14ac:dyDescent="0.35">
      <c r="A272" s="5" t="s">
        <v>530</v>
      </c>
      <c r="B272" s="5" t="s">
        <v>72</v>
      </c>
      <c r="C272" s="5" t="s">
        <v>73</v>
      </c>
      <c r="D272" s="5" t="s">
        <v>74</v>
      </c>
      <c r="E272" s="5" t="s">
        <v>47</v>
      </c>
      <c r="F272" s="6" t="s">
        <v>531</v>
      </c>
      <c r="G272" s="6" t="s">
        <v>222</v>
      </c>
      <c r="H272" s="7">
        <v>20</v>
      </c>
      <c r="I272" s="7">
        <v>5</v>
      </c>
      <c r="J272" s="7">
        <f t="shared" si="12"/>
        <v>15</v>
      </c>
      <c r="K272" s="7">
        <v>240000</v>
      </c>
      <c r="L272" s="7">
        <f t="shared" si="13"/>
        <v>3600000</v>
      </c>
      <c r="M272" s="5" t="s">
        <v>22</v>
      </c>
      <c r="N272" s="6" t="str">
        <f t="shared" si="14"/>
        <v>Tersedia</v>
      </c>
      <c r="O272" s="5" t="s">
        <v>23</v>
      </c>
    </row>
    <row r="273" spans="1:15" x14ac:dyDescent="0.35">
      <c r="A273" s="2" t="s">
        <v>94</v>
      </c>
      <c r="B273" s="2" t="s">
        <v>138</v>
      </c>
      <c r="C273" s="2" t="s">
        <v>62</v>
      </c>
      <c r="D273" s="2" t="s">
        <v>63</v>
      </c>
      <c r="E273" s="2" t="s">
        <v>34</v>
      </c>
      <c r="F273" s="3" t="s">
        <v>244</v>
      </c>
      <c r="G273" s="3" t="s">
        <v>163</v>
      </c>
      <c r="H273" s="4">
        <v>10</v>
      </c>
      <c r="I273" s="4">
        <v>2</v>
      </c>
      <c r="J273" s="4">
        <f t="shared" si="12"/>
        <v>8</v>
      </c>
      <c r="K273" s="4">
        <v>450000</v>
      </c>
      <c r="L273" s="4">
        <f t="shared" si="13"/>
        <v>3600000</v>
      </c>
      <c r="M273" s="2" t="s">
        <v>85</v>
      </c>
      <c r="N273" s="3" t="str">
        <f t="shared" si="14"/>
        <v>Tersedia</v>
      </c>
      <c r="O273" s="2" t="s">
        <v>36</v>
      </c>
    </row>
    <row r="274" spans="1:15" x14ac:dyDescent="0.35">
      <c r="A274" s="5" t="s">
        <v>532</v>
      </c>
      <c r="B274" s="5" t="s">
        <v>88</v>
      </c>
      <c r="C274" s="5" t="s">
        <v>73</v>
      </c>
      <c r="D274" s="5" t="s">
        <v>74</v>
      </c>
      <c r="E274" s="5" t="s">
        <v>47</v>
      </c>
      <c r="F274" s="6" t="s">
        <v>529</v>
      </c>
      <c r="G274" s="6" t="s">
        <v>300</v>
      </c>
      <c r="H274" s="7">
        <v>20</v>
      </c>
      <c r="I274" s="7">
        <v>17</v>
      </c>
      <c r="J274" s="7">
        <f t="shared" si="12"/>
        <v>3</v>
      </c>
      <c r="K274" s="7">
        <v>650000</v>
      </c>
      <c r="L274" s="7">
        <f t="shared" si="13"/>
        <v>1950000</v>
      </c>
      <c r="M274" s="5" t="s">
        <v>43</v>
      </c>
      <c r="N274" s="6" t="str">
        <f t="shared" si="14"/>
        <v>Menipis</v>
      </c>
      <c r="O274" s="5" t="s">
        <v>36</v>
      </c>
    </row>
    <row r="275" spans="1:15" x14ac:dyDescent="0.35">
      <c r="A275" s="2" t="s">
        <v>314</v>
      </c>
      <c r="B275" s="2" t="s">
        <v>67</v>
      </c>
      <c r="C275" s="2" t="s">
        <v>39</v>
      </c>
      <c r="D275" s="2" t="s">
        <v>40</v>
      </c>
      <c r="E275" s="2" t="s">
        <v>64</v>
      </c>
      <c r="F275" s="3" t="s">
        <v>274</v>
      </c>
      <c r="G275" s="3"/>
      <c r="H275" s="4">
        <v>10</v>
      </c>
      <c r="I275" s="4">
        <v>0</v>
      </c>
      <c r="J275" s="4">
        <f t="shared" si="12"/>
        <v>10</v>
      </c>
      <c r="K275" s="4">
        <v>3800000</v>
      </c>
      <c r="L275" s="4">
        <f t="shared" si="13"/>
        <v>38000000</v>
      </c>
      <c r="M275" s="2" t="s">
        <v>85</v>
      </c>
      <c r="N275" s="3" t="str">
        <f t="shared" si="14"/>
        <v>Tersedia</v>
      </c>
      <c r="O275" s="2" t="s">
        <v>36</v>
      </c>
    </row>
    <row r="276" spans="1:15" x14ac:dyDescent="0.35">
      <c r="A276" s="5" t="s">
        <v>533</v>
      </c>
      <c r="B276" s="5" t="s">
        <v>33</v>
      </c>
      <c r="C276" s="5" t="s">
        <v>26</v>
      </c>
      <c r="D276" s="5" t="s">
        <v>27</v>
      </c>
      <c r="E276" s="5" t="s">
        <v>47</v>
      </c>
      <c r="F276" s="6" t="s">
        <v>140</v>
      </c>
      <c r="G276" s="6" t="s">
        <v>534</v>
      </c>
      <c r="H276" s="7">
        <v>50</v>
      </c>
      <c r="I276" s="7">
        <v>50</v>
      </c>
      <c r="J276" s="7">
        <f t="shared" si="12"/>
        <v>0</v>
      </c>
      <c r="K276" s="7">
        <v>12000</v>
      </c>
      <c r="L276" s="7">
        <f t="shared" si="13"/>
        <v>0</v>
      </c>
      <c r="M276" s="5" t="s">
        <v>35</v>
      </c>
      <c r="N276" s="6" t="str">
        <f t="shared" si="14"/>
        <v>Habis</v>
      </c>
      <c r="O276" s="5" t="s">
        <v>31</v>
      </c>
    </row>
    <row r="277" spans="1:15" x14ac:dyDescent="0.35">
      <c r="A277" s="2" t="s">
        <v>535</v>
      </c>
      <c r="B277" s="2" t="s">
        <v>120</v>
      </c>
      <c r="C277" s="2" t="s">
        <v>73</v>
      </c>
      <c r="D277" s="2" t="s">
        <v>74</v>
      </c>
      <c r="E277" s="2" t="s">
        <v>151</v>
      </c>
      <c r="F277" s="3" t="s">
        <v>390</v>
      </c>
      <c r="G277" s="3" t="s">
        <v>58</v>
      </c>
      <c r="H277" s="4">
        <v>150</v>
      </c>
      <c r="I277" s="4">
        <v>112</v>
      </c>
      <c r="J277" s="4">
        <f t="shared" si="12"/>
        <v>38</v>
      </c>
      <c r="K277" s="4">
        <v>75000</v>
      </c>
      <c r="L277" s="4">
        <f t="shared" si="13"/>
        <v>2850000</v>
      </c>
      <c r="M277" s="2" t="s">
        <v>35</v>
      </c>
      <c r="N277" s="3" t="str">
        <f t="shared" si="14"/>
        <v>Tersedia</v>
      </c>
      <c r="O277" s="2" t="s">
        <v>86</v>
      </c>
    </row>
    <row r="278" spans="1:15" x14ac:dyDescent="0.35">
      <c r="A278" s="5" t="s">
        <v>122</v>
      </c>
      <c r="B278" s="5" t="s">
        <v>206</v>
      </c>
      <c r="C278" s="5" t="s">
        <v>73</v>
      </c>
      <c r="D278" s="5" t="s">
        <v>74</v>
      </c>
      <c r="E278" s="5" t="s">
        <v>56</v>
      </c>
      <c r="F278" s="6" t="s">
        <v>331</v>
      </c>
      <c r="G278" s="6" t="s">
        <v>177</v>
      </c>
      <c r="H278" s="7">
        <v>150</v>
      </c>
      <c r="I278" s="7">
        <v>129</v>
      </c>
      <c r="J278" s="7">
        <f t="shared" si="12"/>
        <v>21</v>
      </c>
      <c r="K278" s="7">
        <v>45000</v>
      </c>
      <c r="L278" s="7">
        <f t="shared" si="13"/>
        <v>945000</v>
      </c>
      <c r="M278" s="5" t="s">
        <v>22</v>
      </c>
      <c r="N278" s="6" t="str">
        <f t="shared" si="14"/>
        <v>Tersedia</v>
      </c>
      <c r="O278" s="5" t="s">
        <v>70</v>
      </c>
    </row>
    <row r="279" spans="1:15" x14ac:dyDescent="0.35">
      <c r="A279" s="2" t="s">
        <v>536</v>
      </c>
      <c r="B279" s="2" t="s">
        <v>67</v>
      </c>
      <c r="C279" s="2" t="s">
        <v>39</v>
      </c>
      <c r="D279" s="2" t="s">
        <v>40</v>
      </c>
      <c r="E279" s="2" t="s">
        <v>64</v>
      </c>
      <c r="F279" s="3" t="s">
        <v>537</v>
      </c>
      <c r="G279" s="3" t="s">
        <v>133</v>
      </c>
      <c r="H279" s="4">
        <v>2</v>
      </c>
      <c r="I279" s="4">
        <v>2</v>
      </c>
      <c r="J279" s="4">
        <f t="shared" si="12"/>
        <v>0</v>
      </c>
      <c r="K279" s="4">
        <v>3800000</v>
      </c>
      <c r="L279" s="4">
        <f t="shared" si="13"/>
        <v>0</v>
      </c>
      <c r="M279" s="2" t="s">
        <v>22</v>
      </c>
      <c r="N279" s="3" t="str">
        <f t="shared" si="14"/>
        <v>Habis</v>
      </c>
      <c r="O279" s="2" t="s">
        <v>23</v>
      </c>
    </row>
    <row r="280" spans="1:15" x14ac:dyDescent="0.35">
      <c r="A280" s="5" t="s">
        <v>538</v>
      </c>
      <c r="B280" s="5" t="s">
        <v>123</v>
      </c>
      <c r="C280" s="5" t="s">
        <v>81</v>
      </c>
      <c r="D280" s="5" t="s">
        <v>82</v>
      </c>
      <c r="E280" s="5" t="s">
        <v>19</v>
      </c>
      <c r="F280" s="6" t="s">
        <v>97</v>
      </c>
      <c r="G280" s="6"/>
      <c r="H280" s="7">
        <v>10</v>
      </c>
      <c r="I280" s="7">
        <v>0</v>
      </c>
      <c r="J280" s="7">
        <f t="shared" si="12"/>
        <v>10</v>
      </c>
      <c r="K280" s="7">
        <v>1750000</v>
      </c>
      <c r="L280" s="7">
        <f t="shared" si="13"/>
        <v>17500000</v>
      </c>
      <c r="M280" s="5" t="s">
        <v>22</v>
      </c>
      <c r="N280" s="6" t="str">
        <f t="shared" si="14"/>
        <v>Tersedia</v>
      </c>
      <c r="O280" s="5" t="s">
        <v>36</v>
      </c>
    </row>
    <row r="281" spans="1:15" x14ac:dyDescent="0.35">
      <c r="A281" s="2" t="s">
        <v>270</v>
      </c>
      <c r="B281" s="2" t="s">
        <v>158</v>
      </c>
      <c r="C281" s="2" t="s">
        <v>26</v>
      </c>
      <c r="D281" s="2" t="s">
        <v>27</v>
      </c>
      <c r="E281" s="2" t="s">
        <v>68</v>
      </c>
      <c r="F281" s="3" t="s">
        <v>539</v>
      </c>
      <c r="G281" s="3" t="s">
        <v>517</v>
      </c>
      <c r="H281" s="4">
        <v>200</v>
      </c>
      <c r="I281" s="4">
        <v>75</v>
      </c>
      <c r="J281" s="4">
        <f t="shared" si="12"/>
        <v>125</v>
      </c>
      <c r="K281" s="4">
        <v>65000</v>
      </c>
      <c r="L281" s="4">
        <f t="shared" si="13"/>
        <v>8125000</v>
      </c>
      <c r="M281" s="2" t="s">
        <v>30</v>
      </c>
      <c r="N281" s="3" t="str">
        <f t="shared" si="14"/>
        <v>Tersedia</v>
      </c>
      <c r="O281" s="2" t="s">
        <v>31</v>
      </c>
    </row>
    <row r="282" spans="1:15" x14ac:dyDescent="0.35">
      <c r="A282" s="5" t="s">
        <v>540</v>
      </c>
      <c r="B282" s="5" t="s">
        <v>67</v>
      </c>
      <c r="C282" s="5" t="s">
        <v>39</v>
      </c>
      <c r="D282" s="5" t="s">
        <v>40</v>
      </c>
      <c r="E282" s="5" t="s">
        <v>19</v>
      </c>
      <c r="F282" s="6" t="s">
        <v>541</v>
      </c>
      <c r="G282" s="6" t="s">
        <v>329</v>
      </c>
      <c r="H282" s="7">
        <v>10</v>
      </c>
      <c r="I282" s="7">
        <v>7</v>
      </c>
      <c r="J282" s="7">
        <f t="shared" si="12"/>
        <v>3</v>
      </c>
      <c r="K282" s="7">
        <v>3800000</v>
      </c>
      <c r="L282" s="7">
        <f t="shared" si="13"/>
        <v>11400000</v>
      </c>
      <c r="M282" s="5" t="s">
        <v>30</v>
      </c>
      <c r="N282" s="6" t="str">
        <f t="shared" si="14"/>
        <v>Menipis</v>
      </c>
      <c r="O282" s="5" t="s">
        <v>31</v>
      </c>
    </row>
    <row r="283" spans="1:15" x14ac:dyDescent="0.35">
      <c r="A283" s="2" t="s">
        <v>542</v>
      </c>
      <c r="B283" s="2" t="s">
        <v>72</v>
      </c>
      <c r="C283" s="2" t="s">
        <v>73</v>
      </c>
      <c r="D283" s="2" t="s">
        <v>74</v>
      </c>
      <c r="E283" s="2" t="s">
        <v>52</v>
      </c>
      <c r="F283" s="3" t="s">
        <v>520</v>
      </c>
      <c r="G283" s="3" t="s">
        <v>543</v>
      </c>
      <c r="H283" s="4">
        <v>100</v>
      </c>
      <c r="I283" s="4">
        <v>17</v>
      </c>
      <c r="J283" s="4">
        <f t="shared" si="12"/>
        <v>83</v>
      </c>
      <c r="K283" s="4">
        <v>240000</v>
      </c>
      <c r="L283" s="4">
        <f t="shared" si="13"/>
        <v>19920000</v>
      </c>
      <c r="M283" s="2" t="s">
        <v>35</v>
      </c>
      <c r="N283" s="3" t="str">
        <f t="shared" si="14"/>
        <v>Tersedia</v>
      </c>
      <c r="O283" s="2" t="s">
        <v>31</v>
      </c>
    </row>
    <row r="284" spans="1:15" x14ac:dyDescent="0.35">
      <c r="A284" s="5" t="s">
        <v>323</v>
      </c>
      <c r="B284" s="5" t="s">
        <v>25</v>
      </c>
      <c r="C284" s="5" t="s">
        <v>26</v>
      </c>
      <c r="D284" s="5" t="s">
        <v>27</v>
      </c>
      <c r="E284" s="5" t="s">
        <v>151</v>
      </c>
      <c r="F284" s="6" t="s">
        <v>509</v>
      </c>
      <c r="G284" s="6" t="s">
        <v>544</v>
      </c>
      <c r="H284" s="7">
        <v>100</v>
      </c>
      <c r="I284" s="7">
        <v>47</v>
      </c>
      <c r="J284" s="7">
        <f t="shared" si="12"/>
        <v>53</v>
      </c>
      <c r="K284" s="7">
        <v>45000</v>
      </c>
      <c r="L284" s="7">
        <f t="shared" si="13"/>
        <v>2385000</v>
      </c>
      <c r="M284" s="5" t="s">
        <v>85</v>
      </c>
      <c r="N284" s="6" t="str">
        <f t="shared" si="14"/>
        <v>Tersedia</v>
      </c>
      <c r="O284" s="5" t="s">
        <v>76</v>
      </c>
    </row>
    <row r="285" spans="1:15" x14ac:dyDescent="0.35">
      <c r="A285" s="2" t="s">
        <v>545</v>
      </c>
      <c r="B285" s="2" t="s">
        <v>38</v>
      </c>
      <c r="C285" s="2" t="s">
        <v>39</v>
      </c>
      <c r="D285" s="2" t="s">
        <v>40</v>
      </c>
      <c r="E285" s="2" t="s">
        <v>151</v>
      </c>
      <c r="F285" s="3" t="s">
        <v>196</v>
      </c>
      <c r="G285" s="3" t="s">
        <v>329</v>
      </c>
      <c r="H285" s="4">
        <v>2</v>
      </c>
      <c r="I285" s="4">
        <v>1</v>
      </c>
      <c r="J285" s="4">
        <f t="shared" si="12"/>
        <v>1</v>
      </c>
      <c r="K285" s="4">
        <v>4500000</v>
      </c>
      <c r="L285" s="4">
        <f t="shared" si="13"/>
        <v>4500000</v>
      </c>
      <c r="M285" s="2" t="s">
        <v>35</v>
      </c>
      <c r="N285" s="3" t="str">
        <f t="shared" si="14"/>
        <v>Menipis</v>
      </c>
      <c r="O285" s="2" t="s">
        <v>86</v>
      </c>
    </row>
    <row r="286" spans="1:15" x14ac:dyDescent="0.35">
      <c r="A286" s="5" t="s">
        <v>546</v>
      </c>
      <c r="B286" s="5" t="s">
        <v>16</v>
      </c>
      <c r="C286" s="5" t="s">
        <v>17</v>
      </c>
      <c r="D286" s="5" t="s">
        <v>18</v>
      </c>
      <c r="E286" s="5" t="s">
        <v>101</v>
      </c>
      <c r="F286" s="6" t="s">
        <v>247</v>
      </c>
      <c r="G286" s="6" t="s">
        <v>248</v>
      </c>
      <c r="H286" s="7">
        <v>10</v>
      </c>
      <c r="I286" s="7">
        <v>7</v>
      </c>
      <c r="J286" s="7">
        <f t="shared" si="12"/>
        <v>3</v>
      </c>
      <c r="K286" s="7">
        <v>45000</v>
      </c>
      <c r="L286" s="7">
        <f t="shared" si="13"/>
        <v>135000</v>
      </c>
      <c r="M286" s="5" t="s">
        <v>43</v>
      </c>
      <c r="N286" s="6" t="str">
        <f t="shared" si="14"/>
        <v>Menipis</v>
      </c>
      <c r="O286" s="5" t="s">
        <v>44</v>
      </c>
    </row>
    <row r="287" spans="1:15" x14ac:dyDescent="0.35">
      <c r="A287" s="2" t="s">
        <v>547</v>
      </c>
      <c r="B287" s="2" t="s">
        <v>51</v>
      </c>
      <c r="C287" s="2" t="s">
        <v>17</v>
      </c>
      <c r="D287" s="2" t="s">
        <v>18</v>
      </c>
      <c r="E287" s="2" t="s">
        <v>34</v>
      </c>
      <c r="F287" s="3" t="s">
        <v>267</v>
      </c>
      <c r="G287" s="3" t="s">
        <v>105</v>
      </c>
      <c r="H287" s="4">
        <v>10</v>
      </c>
      <c r="I287" s="4">
        <v>7</v>
      </c>
      <c r="J287" s="4">
        <f t="shared" si="12"/>
        <v>3</v>
      </c>
      <c r="K287" s="4">
        <v>150000</v>
      </c>
      <c r="L287" s="4">
        <f t="shared" si="13"/>
        <v>450000</v>
      </c>
      <c r="M287" s="2" t="s">
        <v>22</v>
      </c>
      <c r="N287" s="3" t="str">
        <f t="shared" si="14"/>
        <v>Menipis</v>
      </c>
      <c r="O287" s="2" t="s">
        <v>23</v>
      </c>
    </row>
    <row r="288" spans="1:15" x14ac:dyDescent="0.35">
      <c r="A288" s="5" t="s">
        <v>548</v>
      </c>
      <c r="B288" s="5" t="s">
        <v>108</v>
      </c>
      <c r="C288" s="5" t="s">
        <v>62</v>
      </c>
      <c r="D288" s="5" t="s">
        <v>63</v>
      </c>
      <c r="E288" s="5" t="s">
        <v>52</v>
      </c>
      <c r="F288" s="6" t="s">
        <v>140</v>
      </c>
      <c r="G288" s="6" t="s">
        <v>549</v>
      </c>
      <c r="H288" s="7">
        <v>10</v>
      </c>
      <c r="I288" s="7">
        <v>1</v>
      </c>
      <c r="J288" s="7">
        <f t="shared" si="12"/>
        <v>9</v>
      </c>
      <c r="K288" s="7">
        <v>650000</v>
      </c>
      <c r="L288" s="7">
        <f t="shared" si="13"/>
        <v>5850000</v>
      </c>
      <c r="M288" s="5" t="s">
        <v>30</v>
      </c>
      <c r="N288" s="6" t="str">
        <f t="shared" si="14"/>
        <v>Tersedia</v>
      </c>
      <c r="O288" s="5" t="s">
        <v>44</v>
      </c>
    </row>
    <row r="289" spans="1:15" x14ac:dyDescent="0.35">
      <c r="A289" s="2" t="s">
        <v>550</v>
      </c>
      <c r="B289" s="2" t="s">
        <v>16</v>
      </c>
      <c r="C289" s="2" t="s">
        <v>17</v>
      </c>
      <c r="D289" s="2" t="s">
        <v>18</v>
      </c>
      <c r="E289" s="2" t="s">
        <v>19</v>
      </c>
      <c r="F289" s="3" t="s">
        <v>363</v>
      </c>
      <c r="G289" s="3" t="s">
        <v>20</v>
      </c>
      <c r="H289" s="4">
        <v>150</v>
      </c>
      <c r="I289" s="4">
        <v>127</v>
      </c>
      <c r="J289" s="4">
        <f t="shared" si="12"/>
        <v>23</v>
      </c>
      <c r="K289" s="4">
        <v>45000</v>
      </c>
      <c r="L289" s="4">
        <f t="shared" si="13"/>
        <v>1035000</v>
      </c>
      <c r="M289" s="2" t="s">
        <v>43</v>
      </c>
      <c r="N289" s="3" t="str">
        <f t="shared" si="14"/>
        <v>Tersedia</v>
      </c>
      <c r="O289" s="2" t="s">
        <v>76</v>
      </c>
    </row>
    <row r="290" spans="1:15" x14ac:dyDescent="0.35">
      <c r="A290" s="5" t="s">
        <v>45</v>
      </c>
      <c r="B290" s="5" t="s">
        <v>33</v>
      </c>
      <c r="C290" s="5" t="s">
        <v>26</v>
      </c>
      <c r="D290" s="5" t="s">
        <v>27</v>
      </c>
      <c r="E290" s="5" t="s">
        <v>56</v>
      </c>
      <c r="F290" s="6" t="s">
        <v>551</v>
      </c>
      <c r="G290" s="6" t="s">
        <v>552</v>
      </c>
      <c r="H290" s="7">
        <v>10</v>
      </c>
      <c r="I290" s="7">
        <v>7</v>
      </c>
      <c r="J290" s="7">
        <f t="shared" si="12"/>
        <v>3</v>
      </c>
      <c r="K290" s="7">
        <v>12000</v>
      </c>
      <c r="L290" s="7">
        <f t="shared" si="13"/>
        <v>36000</v>
      </c>
      <c r="M290" s="5" t="s">
        <v>35</v>
      </c>
      <c r="N290" s="6" t="str">
        <f t="shared" si="14"/>
        <v>Menipis</v>
      </c>
      <c r="O290" s="5" t="s">
        <v>44</v>
      </c>
    </row>
    <row r="291" spans="1:15" x14ac:dyDescent="0.35">
      <c r="A291" s="2" t="s">
        <v>553</v>
      </c>
      <c r="B291" s="2" t="s">
        <v>114</v>
      </c>
      <c r="C291" s="2" t="s">
        <v>17</v>
      </c>
      <c r="D291" s="2" t="s">
        <v>18</v>
      </c>
      <c r="E291" s="2" t="s">
        <v>68</v>
      </c>
      <c r="F291" s="3" t="s">
        <v>554</v>
      </c>
      <c r="G291" s="3" t="s">
        <v>555</v>
      </c>
      <c r="H291" s="4">
        <v>100</v>
      </c>
      <c r="I291" s="4">
        <v>5</v>
      </c>
      <c r="J291" s="4">
        <f t="shared" si="12"/>
        <v>95</v>
      </c>
      <c r="K291" s="4">
        <v>85000</v>
      </c>
      <c r="L291" s="4">
        <f t="shared" si="13"/>
        <v>8075000</v>
      </c>
      <c r="M291" s="2" t="s">
        <v>22</v>
      </c>
      <c r="N291" s="3" t="str">
        <f t="shared" si="14"/>
        <v>Tersedia</v>
      </c>
      <c r="O291" s="2" t="s">
        <v>23</v>
      </c>
    </row>
    <row r="292" spans="1:15" x14ac:dyDescent="0.35">
      <c r="A292" s="5" t="s">
        <v>426</v>
      </c>
      <c r="B292" s="5" t="s">
        <v>206</v>
      </c>
      <c r="C292" s="5" t="s">
        <v>73</v>
      </c>
      <c r="D292" s="5" t="s">
        <v>74</v>
      </c>
      <c r="E292" s="5" t="s">
        <v>68</v>
      </c>
      <c r="F292" s="6" t="s">
        <v>427</v>
      </c>
      <c r="G292" s="6" t="s">
        <v>340</v>
      </c>
      <c r="H292" s="7">
        <v>100</v>
      </c>
      <c r="I292" s="7">
        <v>29</v>
      </c>
      <c r="J292" s="7">
        <f t="shared" si="12"/>
        <v>71</v>
      </c>
      <c r="K292" s="7">
        <v>45000</v>
      </c>
      <c r="L292" s="7">
        <f t="shared" si="13"/>
        <v>3195000</v>
      </c>
      <c r="M292" s="5" t="s">
        <v>35</v>
      </c>
      <c r="N292" s="6" t="str">
        <f t="shared" si="14"/>
        <v>Tersedia</v>
      </c>
      <c r="O292" s="5" t="s">
        <v>76</v>
      </c>
    </row>
    <row r="293" spans="1:15" x14ac:dyDescent="0.35">
      <c r="A293" s="2" t="s">
        <v>556</v>
      </c>
      <c r="B293" s="2" t="s">
        <v>138</v>
      </c>
      <c r="C293" s="2" t="s">
        <v>62</v>
      </c>
      <c r="D293" s="2" t="s">
        <v>63</v>
      </c>
      <c r="E293" s="2" t="s">
        <v>101</v>
      </c>
      <c r="F293" s="3" t="s">
        <v>557</v>
      </c>
      <c r="G293" s="3" t="s">
        <v>276</v>
      </c>
      <c r="H293" s="4">
        <v>100</v>
      </c>
      <c r="I293" s="4">
        <v>93</v>
      </c>
      <c r="J293" s="4">
        <f t="shared" si="12"/>
        <v>7</v>
      </c>
      <c r="K293" s="4">
        <v>450000</v>
      </c>
      <c r="L293" s="4">
        <f t="shared" si="13"/>
        <v>3150000</v>
      </c>
      <c r="M293" s="2" t="s">
        <v>30</v>
      </c>
      <c r="N293" s="3" t="str">
        <f t="shared" si="14"/>
        <v>Tersedia</v>
      </c>
      <c r="O293" s="2" t="s">
        <v>86</v>
      </c>
    </row>
    <row r="294" spans="1:15" x14ac:dyDescent="0.35">
      <c r="A294" s="5" t="s">
        <v>412</v>
      </c>
      <c r="B294" s="5" t="s">
        <v>33</v>
      </c>
      <c r="C294" s="5" t="s">
        <v>26</v>
      </c>
      <c r="D294" s="5" t="s">
        <v>27</v>
      </c>
      <c r="E294" s="5" t="s">
        <v>151</v>
      </c>
      <c r="F294" s="6" t="s">
        <v>109</v>
      </c>
      <c r="G294" s="6" t="s">
        <v>185</v>
      </c>
      <c r="H294" s="7">
        <v>150</v>
      </c>
      <c r="I294" s="7">
        <v>29</v>
      </c>
      <c r="J294" s="7">
        <f t="shared" si="12"/>
        <v>121</v>
      </c>
      <c r="K294" s="7">
        <v>12000</v>
      </c>
      <c r="L294" s="7">
        <f t="shared" si="13"/>
        <v>1452000</v>
      </c>
      <c r="M294" s="5" t="s">
        <v>35</v>
      </c>
      <c r="N294" s="6" t="str">
        <f t="shared" si="14"/>
        <v>Tersedia</v>
      </c>
      <c r="O294" s="5" t="s">
        <v>44</v>
      </c>
    </row>
    <row r="295" spans="1:15" x14ac:dyDescent="0.35">
      <c r="A295" s="2" t="s">
        <v>558</v>
      </c>
      <c r="B295" s="2" t="s">
        <v>108</v>
      </c>
      <c r="C295" s="2" t="s">
        <v>62</v>
      </c>
      <c r="D295" s="2" t="s">
        <v>63</v>
      </c>
      <c r="E295" s="2" t="s">
        <v>52</v>
      </c>
      <c r="F295" s="3" t="s">
        <v>368</v>
      </c>
      <c r="G295" s="3" t="s">
        <v>559</v>
      </c>
      <c r="H295" s="4">
        <v>50</v>
      </c>
      <c r="I295" s="4">
        <v>10</v>
      </c>
      <c r="J295" s="4">
        <f t="shared" si="12"/>
        <v>40</v>
      </c>
      <c r="K295" s="4">
        <v>650000</v>
      </c>
      <c r="L295" s="4">
        <f t="shared" si="13"/>
        <v>26000000</v>
      </c>
      <c r="M295" s="2" t="s">
        <v>22</v>
      </c>
      <c r="N295" s="3" t="str">
        <f t="shared" si="14"/>
        <v>Tersedia</v>
      </c>
      <c r="O295" s="2" t="s">
        <v>31</v>
      </c>
    </row>
    <row r="296" spans="1:15" x14ac:dyDescent="0.35">
      <c r="A296" s="5" t="s">
        <v>37</v>
      </c>
      <c r="B296" s="5" t="s">
        <v>158</v>
      </c>
      <c r="C296" s="5" t="s">
        <v>26</v>
      </c>
      <c r="D296" s="5" t="s">
        <v>27</v>
      </c>
      <c r="E296" s="5" t="s">
        <v>47</v>
      </c>
      <c r="F296" s="6" t="s">
        <v>560</v>
      </c>
      <c r="G296" s="6"/>
      <c r="H296" s="7">
        <v>150</v>
      </c>
      <c r="I296" s="7">
        <v>0</v>
      </c>
      <c r="J296" s="7">
        <f t="shared" si="12"/>
        <v>150</v>
      </c>
      <c r="K296" s="7">
        <v>65000</v>
      </c>
      <c r="L296" s="7">
        <f t="shared" si="13"/>
        <v>9750000</v>
      </c>
      <c r="M296" s="5" t="s">
        <v>22</v>
      </c>
      <c r="N296" s="6" t="str">
        <f t="shared" si="14"/>
        <v>Tersedia</v>
      </c>
      <c r="O296" s="5" t="s">
        <v>31</v>
      </c>
    </row>
    <row r="297" spans="1:15" x14ac:dyDescent="0.35">
      <c r="A297" s="2" t="s">
        <v>561</v>
      </c>
      <c r="B297" s="2" t="s">
        <v>117</v>
      </c>
      <c r="C297" s="2" t="s">
        <v>81</v>
      </c>
      <c r="D297" s="2" t="s">
        <v>82</v>
      </c>
      <c r="E297" s="2" t="s">
        <v>34</v>
      </c>
      <c r="F297" s="3" t="s">
        <v>225</v>
      </c>
      <c r="G297" s="3"/>
      <c r="H297" s="4">
        <v>10</v>
      </c>
      <c r="I297" s="4">
        <v>0</v>
      </c>
      <c r="J297" s="4">
        <f t="shared" si="12"/>
        <v>10</v>
      </c>
      <c r="K297" s="4">
        <v>310000</v>
      </c>
      <c r="L297" s="4">
        <f t="shared" si="13"/>
        <v>3100000</v>
      </c>
      <c r="M297" s="2" t="s">
        <v>22</v>
      </c>
      <c r="N297" s="3" t="str">
        <f t="shared" si="14"/>
        <v>Tersedia</v>
      </c>
      <c r="O297" s="2" t="s">
        <v>59</v>
      </c>
    </row>
    <row r="298" spans="1:15" x14ac:dyDescent="0.35">
      <c r="A298" s="5" t="s">
        <v>54</v>
      </c>
      <c r="B298" s="5" t="s">
        <v>127</v>
      </c>
      <c r="C298" s="5" t="s">
        <v>39</v>
      </c>
      <c r="D298" s="5" t="s">
        <v>40</v>
      </c>
      <c r="E298" s="5" t="s">
        <v>64</v>
      </c>
      <c r="F298" s="6" t="s">
        <v>276</v>
      </c>
      <c r="G298" s="6"/>
      <c r="H298" s="7">
        <v>2</v>
      </c>
      <c r="I298" s="7">
        <v>0</v>
      </c>
      <c r="J298" s="7">
        <f t="shared" si="12"/>
        <v>2</v>
      </c>
      <c r="K298" s="7">
        <v>1550000</v>
      </c>
      <c r="L298" s="7">
        <f t="shared" si="13"/>
        <v>3100000</v>
      </c>
      <c r="M298" s="5" t="s">
        <v>43</v>
      </c>
      <c r="N298" s="6" t="str">
        <f t="shared" si="14"/>
        <v>Menipis</v>
      </c>
      <c r="O298" s="5" t="s">
        <v>86</v>
      </c>
    </row>
    <row r="299" spans="1:15" x14ac:dyDescent="0.35">
      <c r="A299" s="2" t="s">
        <v>472</v>
      </c>
      <c r="B299" s="2" t="s">
        <v>38</v>
      </c>
      <c r="C299" s="2" t="s">
        <v>39</v>
      </c>
      <c r="D299" s="2" t="s">
        <v>40</v>
      </c>
      <c r="E299" s="2" t="s">
        <v>101</v>
      </c>
      <c r="F299" s="3" t="s">
        <v>488</v>
      </c>
      <c r="G299" s="3" t="s">
        <v>562</v>
      </c>
      <c r="H299" s="4">
        <v>5</v>
      </c>
      <c r="I299" s="4">
        <v>4</v>
      </c>
      <c r="J299" s="4">
        <f t="shared" si="12"/>
        <v>1</v>
      </c>
      <c r="K299" s="4">
        <v>4500000</v>
      </c>
      <c r="L299" s="4">
        <f t="shared" si="13"/>
        <v>4500000</v>
      </c>
      <c r="M299" s="2" t="s">
        <v>85</v>
      </c>
      <c r="N299" s="3" t="str">
        <f t="shared" si="14"/>
        <v>Menipis</v>
      </c>
      <c r="O299" s="2" t="s">
        <v>76</v>
      </c>
    </row>
    <row r="300" spans="1:15" x14ac:dyDescent="0.35">
      <c r="A300" s="5" t="s">
        <v>540</v>
      </c>
      <c r="B300" s="5" t="s">
        <v>217</v>
      </c>
      <c r="C300" s="5" t="s">
        <v>26</v>
      </c>
      <c r="D300" s="5" t="s">
        <v>27</v>
      </c>
      <c r="E300" s="5" t="s">
        <v>64</v>
      </c>
      <c r="F300" s="6" t="s">
        <v>559</v>
      </c>
      <c r="G300" s="6" t="s">
        <v>202</v>
      </c>
      <c r="H300" s="7">
        <v>50</v>
      </c>
      <c r="I300" s="7">
        <v>44</v>
      </c>
      <c r="J300" s="7">
        <f t="shared" si="12"/>
        <v>6</v>
      </c>
      <c r="K300" s="7">
        <v>55000</v>
      </c>
      <c r="L300" s="7">
        <f t="shared" si="13"/>
        <v>330000</v>
      </c>
      <c r="M300" s="5" t="s">
        <v>43</v>
      </c>
      <c r="N300" s="6" t="str">
        <f t="shared" si="14"/>
        <v>Tersedia</v>
      </c>
      <c r="O300" s="5" t="s">
        <v>36</v>
      </c>
    </row>
    <row r="301" spans="1:15" x14ac:dyDescent="0.35">
      <c r="A301" s="2" t="s">
        <v>489</v>
      </c>
      <c r="B301" s="2" t="s">
        <v>217</v>
      </c>
      <c r="C301" s="2" t="s">
        <v>26</v>
      </c>
      <c r="D301" s="2" t="s">
        <v>27</v>
      </c>
      <c r="E301" s="2" t="s">
        <v>68</v>
      </c>
      <c r="F301" s="3" t="s">
        <v>475</v>
      </c>
      <c r="G301" s="3" t="s">
        <v>293</v>
      </c>
      <c r="H301" s="4">
        <v>10</v>
      </c>
      <c r="I301" s="4">
        <v>9</v>
      </c>
      <c r="J301" s="4">
        <f t="shared" si="12"/>
        <v>1</v>
      </c>
      <c r="K301" s="4">
        <v>55000</v>
      </c>
      <c r="L301" s="4">
        <f t="shared" si="13"/>
        <v>55000</v>
      </c>
      <c r="M301" s="2" t="s">
        <v>85</v>
      </c>
      <c r="N301" s="3" t="str">
        <f t="shared" si="14"/>
        <v>Menipis</v>
      </c>
      <c r="O301" s="2" t="s">
        <v>76</v>
      </c>
    </row>
    <row r="302" spans="1:15" x14ac:dyDescent="0.35">
      <c r="A302" s="5" t="s">
        <v>563</v>
      </c>
      <c r="B302" s="5" t="s">
        <v>206</v>
      </c>
      <c r="C302" s="5" t="s">
        <v>73</v>
      </c>
      <c r="D302" s="5" t="s">
        <v>74</v>
      </c>
      <c r="E302" s="5" t="s">
        <v>64</v>
      </c>
      <c r="F302" s="6" t="s">
        <v>564</v>
      </c>
      <c r="G302" s="6" t="s">
        <v>565</v>
      </c>
      <c r="H302" s="7">
        <v>200</v>
      </c>
      <c r="I302" s="7">
        <v>43</v>
      </c>
      <c r="J302" s="7">
        <f t="shared" si="12"/>
        <v>157</v>
      </c>
      <c r="K302" s="7">
        <v>45000</v>
      </c>
      <c r="L302" s="7">
        <f t="shared" si="13"/>
        <v>7065000</v>
      </c>
      <c r="M302" s="5" t="s">
        <v>35</v>
      </c>
      <c r="N302" s="6" t="str">
        <f t="shared" si="14"/>
        <v>Tersedia</v>
      </c>
      <c r="O302" s="5" t="s">
        <v>36</v>
      </c>
    </row>
    <row r="303" spans="1:15" x14ac:dyDescent="0.35">
      <c r="A303" s="2" t="s">
        <v>119</v>
      </c>
      <c r="B303" s="2" t="s">
        <v>88</v>
      </c>
      <c r="C303" s="2" t="s">
        <v>73</v>
      </c>
      <c r="D303" s="2" t="s">
        <v>74</v>
      </c>
      <c r="E303" s="2" t="s">
        <v>34</v>
      </c>
      <c r="F303" s="3" t="s">
        <v>465</v>
      </c>
      <c r="G303" s="3"/>
      <c r="H303" s="4">
        <v>10</v>
      </c>
      <c r="I303" s="4">
        <v>0</v>
      </c>
      <c r="J303" s="4">
        <f t="shared" si="12"/>
        <v>10</v>
      </c>
      <c r="K303" s="4">
        <v>650000</v>
      </c>
      <c r="L303" s="4">
        <f t="shared" si="13"/>
        <v>6500000</v>
      </c>
      <c r="M303" s="2" t="s">
        <v>35</v>
      </c>
      <c r="N303" s="3" t="str">
        <f t="shared" si="14"/>
        <v>Tersedia</v>
      </c>
      <c r="O303" s="2" t="s">
        <v>31</v>
      </c>
    </row>
    <row r="304" spans="1:15" x14ac:dyDescent="0.35">
      <c r="A304" s="5" t="s">
        <v>566</v>
      </c>
      <c r="B304" s="5" t="s">
        <v>217</v>
      </c>
      <c r="C304" s="5" t="s">
        <v>26</v>
      </c>
      <c r="D304" s="5" t="s">
        <v>27</v>
      </c>
      <c r="E304" s="5" t="s">
        <v>52</v>
      </c>
      <c r="F304" s="6" t="s">
        <v>153</v>
      </c>
      <c r="G304" s="6"/>
      <c r="H304" s="7">
        <v>200</v>
      </c>
      <c r="I304" s="7">
        <v>0</v>
      </c>
      <c r="J304" s="7">
        <f t="shared" si="12"/>
        <v>200</v>
      </c>
      <c r="K304" s="7">
        <v>55000</v>
      </c>
      <c r="L304" s="7">
        <f t="shared" si="13"/>
        <v>11000000</v>
      </c>
      <c r="M304" s="5" t="s">
        <v>30</v>
      </c>
      <c r="N304" s="6" t="str">
        <f t="shared" si="14"/>
        <v>Tersedia</v>
      </c>
      <c r="O304" s="5" t="s">
        <v>36</v>
      </c>
    </row>
    <row r="305" spans="1:15" x14ac:dyDescent="0.35">
      <c r="A305" s="2" t="s">
        <v>126</v>
      </c>
      <c r="B305" s="2" t="s">
        <v>33</v>
      </c>
      <c r="C305" s="2" t="s">
        <v>26</v>
      </c>
      <c r="D305" s="2" t="s">
        <v>27</v>
      </c>
      <c r="E305" s="2" t="s">
        <v>47</v>
      </c>
      <c r="F305" s="3" t="s">
        <v>156</v>
      </c>
      <c r="G305" s="3"/>
      <c r="H305" s="4">
        <v>20</v>
      </c>
      <c r="I305" s="4">
        <v>0</v>
      </c>
      <c r="J305" s="4">
        <f t="shared" si="12"/>
        <v>20</v>
      </c>
      <c r="K305" s="4">
        <v>12000</v>
      </c>
      <c r="L305" s="4">
        <f t="shared" si="13"/>
        <v>240000</v>
      </c>
      <c r="M305" s="2" t="s">
        <v>22</v>
      </c>
      <c r="N305" s="3" t="str">
        <f t="shared" si="14"/>
        <v>Tersedia</v>
      </c>
      <c r="O305" s="2" t="s">
        <v>70</v>
      </c>
    </row>
    <row r="306" spans="1:15" x14ac:dyDescent="0.35">
      <c r="A306" s="5" t="s">
        <v>567</v>
      </c>
      <c r="B306" s="5" t="s">
        <v>33</v>
      </c>
      <c r="C306" s="5" t="s">
        <v>26</v>
      </c>
      <c r="D306" s="5" t="s">
        <v>27</v>
      </c>
      <c r="E306" s="5" t="s">
        <v>68</v>
      </c>
      <c r="F306" s="6" t="s">
        <v>568</v>
      </c>
      <c r="G306" s="6" t="s">
        <v>49</v>
      </c>
      <c r="H306" s="7">
        <v>20</v>
      </c>
      <c r="I306" s="7">
        <v>15</v>
      </c>
      <c r="J306" s="7">
        <f t="shared" si="12"/>
        <v>5</v>
      </c>
      <c r="K306" s="7">
        <v>12000</v>
      </c>
      <c r="L306" s="7">
        <f t="shared" si="13"/>
        <v>60000</v>
      </c>
      <c r="M306" s="5" t="s">
        <v>35</v>
      </c>
      <c r="N306" s="6" t="str">
        <f t="shared" si="14"/>
        <v>Menipis</v>
      </c>
      <c r="O306" s="5" t="s">
        <v>59</v>
      </c>
    </row>
    <row r="307" spans="1:15" x14ac:dyDescent="0.35">
      <c r="A307" s="2" t="s">
        <v>569</v>
      </c>
      <c r="B307" s="2" t="s">
        <v>51</v>
      </c>
      <c r="C307" s="2" t="s">
        <v>17</v>
      </c>
      <c r="D307" s="2" t="s">
        <v>18</v>
      </c>
      <c r="E307" s="2" t="s">
        <v>96</v>
      </c>
      <c r="F307" s="3" t="s">
        <v>534</v>
      </c>
      <c r="G307" s="3" t="s">
        <v>391</v>
      </c>
      <c r="H307" s="4">
        <v>50</v>
      </c>
      <c r="I307" s="4">
        <v>4</v>
      </c>
      <c r="J307" s="4">
        <f t="shared" si="12"/>
        <v>46</v>
      </c>
      <c r="K307" s="4">
        <v>150000</v>
      </c>
      <c r="L307" s="4">
        <f t="shared" si="13"/>
        <v>6900000</v>
      </c>
      <c r="M307" s="2" t="s">
        <v>30</v>
      </c>
      <c r="N307" s="3" t="str">
        <f t="shared" si="14"/>
        <v>Tersedia</v>
      </c>
      <c r="O307" s="2" t="s">
        <v>86</v>
      </c>
    </row>
    <row r="308" spans="1:15" x14ac:dyDescent="0.35">
      <c r="A308" s="5" t="s">
        <v>570</v>
      </c>
      <c r="B308" s="5" t="s">
        <v>16</v>
      </c>
      <c r="C308" s="5" t="s">
        <v>17</v>
      </c>
      <c r="D308" s="5" t="s">
        <v>18</v>
      </c>
      <c r="E308" s="5" t="s">
        <v>52</v>
      </c>
      <c r="F308" s="6" t="s">
        <v>182</v>
      </c>
      <c r="G308" s="6" t="s">
        <v>344</v>
      </c>
      <c r="H308" s="7">
        <v>200</v>
      </c>
      <c r="I308" s="7">
        <v>88</v>
      </c>
      <c r="J308" s="7">
        <f t="shared" si="12"/>
        <v>112</v>
      </c>
      <c r="K308" s="7">
        <v>45000</v>
      </c>
      <c r="L308" s="7">
        <f t="shared" si="13"/>
        <v>5040000</v>
      </c>
      <c r="M308" s="5" t="s">
        <v>35</v>
      </c>
      <c r="N308" s="6" t="str">
        <f t="shared" si="14"/>
        <v>Tersedia</v>
      </c>
      <c r="O308" s="5" t="s">
        <v>36</v>
      </c>
    </row>
    <row r="309" spans="1:15" x14ac:dyDescent="0.35">
      <c r="A309" s="2" t="s">
        <v>545</v>
      </c>
      <c r="B309" s="2" t="s">
        <v>25</v>
      </c>
      <c r="C309" s="2" t="s">
        <v>26</v>
      </c>
      <c r="D309" s="2" t="s">
        <v>27</v>
      </c>
      <c r="E309" s="2" t="s">
        <v>47</v>
      </c>
      <c r="F309" s="3" t="s">
        <v>571</v>
      </c>
      <c r="G309" s="3" t="s">
        <v>299</v>
      </c>
      <c r="H309" s="4">
        <v>100</v>
      </c>
      <c r="I309" s="4">
        <v>38</v>
      </c>
      <c r="J309" s="4">
        <f t="shared" si="12"/>
        <v>62</v>
      </c>
      <c r="K309" s="4">
        <v>45000</v>
      </c>
      <c r="L309" s="4">
        <f t="shared" si="13"/>
        <v>2790000</v>
      </c>
      <c r="M309" s="2" t="s">
        <v>22</v>
      </c>
      <c r="N309" s="3" t="str">
        <f t="shared" si="14"/>
        <v>Tersedia</v>
      </c>
      <c r="O309" s="2" t="s">
        <v>23</v>
      </c>
    </row>
    <row r="310" spans="1:15" x14ac:dyDescent="0.35">
      <c r="A310" s="5" t="s">
        <v>173</v>
      </c>
      <c r="B310" s="5" t="s">
        <v>114</v>
      </c>
      <c r="C310" s="5" t="s">
        <v>17</v>
      </c>
      <c r="D310" s="5" t="s">
        <v>18</v>
      </c>
      <c r="E310" s="5" t="s">
        <v>47</v>
      </c>
      <c r="F310" s="6" t="s">
        <v>407</v>
      </c>
      <c r="G310" s="6" t="s">
        <v>143</v>
      </c>
      <c r="H310" s="7">
        <v>150</v>
      </c>
      <c r="I310" s="7">
        <v>103</v>
      </c>
      <c r="J310" s="7">
        <f t="shared" si="12"/>
        <v>47</v>
      </c>
      <c r="K310" s="7">
        <v>85000</v>
      </c>
      <c r="L310" s="7">
        <f t="shared" si="13"/>
        <v>3995000</v>
      </c>
      <c r="M310" s="5" t="s">
        <v>30</v>
      </c>
      <c r="N310" s="6" t="str">
        <f t="shared" si="14"/>
        <v>Tersedia</v>
      </c>
      <c r="O310" s="5" t="s">
        <v>59</v>
      </c>
    </row>
    <row r="311" spans="1:15" x14ac:dyDescent="0.35">
      <c r="A311" s="2" t="s">
        <v>178</v>
      </c>
      <c r="B311" s="2" t="s">
        <v>127</v>
      </c>
      <c r="C311" s="2" t="s">
        <v>39</v>
      </c>
      <c r="D311" s="2" t="s">
        <v>40</v>
      </c>
      <c r="E311" s="2" t="s">
        <v>19</v>
      </c>
      <c r="F311" s="3" t="s">
        <v>414</v>
      </c>
      <c r="G311" s="3" t="s">
        <v>65</v>
      </c>
      <c r="H311" s="4">
        <v>10</v>
      </c>
      <c r="I311" s="4">
        <v>7</v>
      </c>
      <c r="J311" s="4">
        <f t="shared" si="12"/>
        <v>3</v>
      </c>
      <c r="K311" s="4">
        <v>1550000</v>
      </c>
      <c r="L311" s="4">
        <f t="shared" si="13"/>
        <v>4650000</v>
      </c>
      <c r="M311" s="2" t="s">
        <v>43</v>
      </c>
      <c r="N311" s="3" t="str">
        <f t="shared" si="14"/>
        <v>Menipis</v>
      </c>
      <c r="O311" s="2" t="s">
        <v>36</v>
      </c>
    </row>
    <row r="312" spans="1:15" x14ac:dyDescent="0.35">
      <c r="A312" s="5" t="s">
        <v>263</v>
      </c>
      <c r="B312" s="5" t="s">
        <v>114</v>
      </c>
      <c r="C312" s="5" t="s">
        <v>17</v>
      </c>
      <c r="D312" s="5" t="s">
        <v>18</v>
      </c>
      <c r="E312" s="5" t="s">
        <v>52</v>
      </c>
      <c r="F312" s="6" t="s">
        <v>167</v>
      </c>
      <c r="G312" s="6" t="s">
        <v>457</v>
      </c>
      <c r="H312" s="7">
        <v>100</v>
      </c>
      <c r="I312" s="7">
        <v>76</v>
      </c>
      <c r="J312" s="7">
        <f t="shared" si="12"/>
        <v>24</v>
      </c>
      <c r="K312" s="7">
        <v>85000</v>
      </c>
      <c r="L312" s="7">
        <f t="shared" si="13"/>
        <v>2040000</v>
      </c>
      <c r="M312" s="5" t="s">
        <v>43</v>
      </c>
      <c r="N312" s="6" t="str">
        <f t="shared" si="14"/>
        <v>Tersedia</v>
      </c>
      <c r="O312" s="5" t="s">
        <v>44</v>
      </c>
    </row>
    <row r="313" spans="1:15" x14ac:dyDescent="0.35">
      <c r="A313" s="2" t="s">
        <v>347</v>
      </c>
      <c r="B313" s="2" t="s">
        <v>217</v>
      </c>
      <c r="C313" s="2" t="s">
        <v>26</v>
      </c>
      <c r="D313" s="2" t="s">
        <v>27</v>
      </c>
      <c r="E313" s="2" t="s">
        <v>52</v>
      </c>
      <c r="F313" s="3" t="s">
        <v>473</v>
      </c>
      <c r="G313" s="3"/>
      <c r="H313" s="4">
        <v>50</v>
      </c>
      <c r="I313" s="4">
        <v>0</v>
      </c>
      <c r="J313" s="4">
        <f t="shared" si="12"/>
        <v>50</v>
      </c>
      <c r="K313" s="4">
        <v>55000</v>
      </c>
      <c r="L313" s="4">
        <f t="shared" si="13"/>
        <v>2750000</v>
      </c>
      <c r="M313" s="2" t="s">
        <v>30</v>
      </c>
      <c r="N313" s="3" t="str">
        <f t="shared" si="14"/>
        <v>Tersedia</v>
      </c>
      <c r="O313" s="2" t="s">
        <v>31</v>
      </c>
    </row>
    <row r="314" spans="1:15" x14ac:dyDescent="0.35">
      <c r="A314" s="8" t="s">
        <v>572</v>
      </c>
      <c r="B314" s="8" t="s">
        <v>33</v>
      </c>
      <c r="C314" s="8" t="s">
        <v>26</v>
      </c>
      <c r="D314" s="8" t="s">
        <v>27</v>
      </c>
      <c r="E314" s="8" t="s">
        <v>56</v>
      </c>
      <c r="F314" s="9" t="s">
        <v>335</v>
      </c>
      <c r="G314" s="9"/>
      <c r="H314" s="10">
        <v>200</v>
      </c>
      <c r="I314" s="10">
        <v>0</v>
      </c>
      <c r="J314" s="10">
        <f t="shared" si="12"/>
        <v>200</v>
      </c>
      <c r="K314" s="10">
        <v>12000</v>
      </c>
      <c r="L314" s="10">
        <f t="shared" si="13"/>
        <v>2400000</v>
      </c>
      <c r="M314" s="8" t="s">
        <v>30</v>
      </c>
      <c r="N314" s="9" t="str">
        <f t="shared" si="14"/>
        <v>Tersedia</v>
      </c>
      <c r="O314" s="8" t="s">
        <v>23</v>
      </c>
    </row>
  </sheetData>
  <mergeCells count="1">
    <mergeCell ref="A2:O2"/>
  </mergeCells>
  <pageMargins left="0.75" right="0.75" top="1" bottom="1" header="0.5" footer="0.5"/>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C2084-CE3B-473B-BC0D-5B5C8D6869E2}">
  <dimension ref="A1:P15"/>
  <sheetViews>
    <sheetView topLeftCell="E1" zoomScale="62" zoomScaleNormal="100" workbookViewId="0">
      <selection activeCell="C16" sqref="C16"/>
    </sheetView>
  </sheetViews>
  <sheetFormatPr defaultRowHeight="14.5" x14ac:dyDescent="0.35"/>
  <cols>
    <col min="1" max="1" width="18.7265625" bestFit="1" customWidth="1"/>
    <col min="2" max="2" width="26.453125" bestFit="1" customWidth="1"/>
    <col min="3" max="3" width="10.7265625" customWidth="1"/>
    <col min="5" max="5" width="25.453125" bestFit="1" customWidth="1"/>
    <col min="6" max="6" width="26.453125" bestFit="1" customWidth="1"/>
    <col min="7" max="7" width="10.1796875" customWidth="1"/>
    <col min="8" max="8" width="18.81640625" bestFit="1" customWidth="1"/>
    <col min="9" max="9" width="26.453125" bestFit="1" customWidth="1"/>
    <col min="11" max="11" width="16.81640625" bestFit="1" customWidth="1"/>
    <col min="12" max="12" width="20.36328125" bestFit="1" customWidth="1"/>
    <col min="14" max="14" width="20.1796875" bestFit="1" customWidth="1"/>
    <col min="15" max="15" width="19.90625" bestFit="1" customWidth="1"/>
    <col min="16" max="16" width="19.7265625" customWidth="1"/>
  </cols>
  <sheetData>
    <row r="1" spans="1:16" x14ac:dyDescent="0.35">
      <c r="A1" s="11" t="s">
        <v>11</v>
      </c>
      <c r="B1" s="11"/>
      <c r="C1" s="11"/>
      <c r="E1" s="11" t="s">
        <v>585</v>
      </c>
      <c r="F1" s="11"/>
      <c r="H1" s="11" t="s">
        <v>611</v>
      </c>
      <c r="I1" s="11"/>
      <c r="K1" s="11" t="s">
        <v>586</v>
      </c>
      <c r="L1" s="11"/>
      <c r="N1" s="11" t="s">
        <v>587</v>
      </c>
      <c r="O1" s="11"/>
      <c r="P1" s="11"/>
    </row>
    <row r="2" spans="1:16" x14ac:dyDescent="0.35">
      <c r="A2" s="12" t="s">
        <v>13</v>
      </c>
      <c r="B2" s="13" t="s">
        <v>579</v>
      </c>
      <c r="E2" s="12" t="s">
        <v>13</v>
      </c>
      <c r="F2" s="13" t="s">
        <v>577</v>
      </c>
      <c r="K2" s="12" t="s">
        <v>4</v>
      </c>
      <c r="L2" s="13" t="s">
        <v>577</v>
      </c>
      <c r="N2" s="12" t="s">
        <v>4</v>
      </c>
      <c r="O2" s="13" t="s">
        <v>577</v>
      </c>
    </row>
    <row r="3" spans="1:16" x14ac:dyDescent="0.35">
      <c r="A3" s="12" t="s">
        <v>4</v>
      </c>
      <c r="B3" s="13" t="s">
        <v>52</v>
      </c>
      <c r="E3" s="12" t="s">
        <v>2</v>
      </c>
      <c r="F3" s="13" t="s">
        <v>81</v>
      </c>
      <c r="H3" s="12" t="s">
        <v>574</v>
      </c>
      <c r="I3" s="13" t="s">
        <v>576</v>
      </c>
      <c r="K3" s="12" t="s">
        <v>2</v>
      </c>
      <c r="L3" s="13" t="s">
        <v>81</v>
      </c>
      <c r="N3" s="12" t="s">
        <v>2</v>
      </c>
      <c r="O3" s="13" t="s">
        <v>81</v>
      </c>
    </row>
    <row r="4" spans="1:16" x14ac:dyDescent="0.35">
      <c r="H4" s="15" t="s">
        <v>150</v>
      </c>
      <c r="I4" s="14">
        <v>7310000</v>
      </c>
    </row>
    <row r="5" spans="1:16" x14ac:dyDescent="0.35">
      <c r="A5" s="12" t="s">
        <v>2</v>
      </c>
      <c r="B5" s="13" t="s">
        <v>576</v>
      </c>
      <c r="E5" s="12" t="s">
        <v>13</v>
      </c>
      <c r="F5" s="13" t="s">
        <v>576</v>
      </c>
      <c r="H5" s="15" t="s">
        <v>80</v>
      </c>
      <c r="I5" s="14">
        <v>107520000</v>
      </c>
      <c r="K5" s="12" t="s">
        <v>582</v>
      </c>
      <c r="L5" s="13" t="s">
        <v>581</v>
      </c>
      <c r="N5" s="13" t="s">
        <v>583</v>
      </c>
      <c r="O5" s="13" t="s">
        <v>584</v>
      </c>
    </row>
    <row r="6" spans="1:16" x14ac:dyDescent="0.35">
      <c r="A6" s="13" t="s">
        <v>575</v>
      </c>
      <c r="B6" s="14"/>
      <c r="E6" s="15" t="s">
        <v>19</v>
      </c>
      <c r="F6" s="14">
        <v>29385000</v>
      </c>
      <c r="H6" s="15" t="s">
        <v>100</v>
      </c>
      <c r="I6" s="14">
        <v>152900000</v>
      </c>
      <c r="K6" s="15" t="s">
        <v>578</v>
      </c>
      <c r="L6" s="16">
        <v>1</v>
      </c>
      <c r="N6" s="14">
        <v>3840</v>
      </c>
      <c r="O6" s="14">
        <v>1771</v>
      </c>
    </row>
    <row r="7" spans="1:16" x14ac:dyDescent="0.35">
      <c r="E7" s="15" t="s">
        <v>101</v>
      </c>
      <c r="F7" s="14">
        <v>64520000</v>
      </c>
      <c r="H7" s="15" t="s">
        <v>117</v>
      </c>
      <c r="I7" s="14">
        <v>216380000</v>
      </c>
      <c r="K7" s="15" t="s">
        <v>579</v>
      </c>
      <c r="L7" s="16">
        <v>11</v>
      </c>
    </row>
    <row r="8" spans="1:16" x14ac:dyDescent="0.35">
      <c r="E8" s="15" t="s">
        <v>96</v>
      </c>
      <c r="F8" s="14">
        <v>1330000</v>
      </c>
      <c r="H8" s="15" t="s">
        <v>123</v>
      </c>
      <c r="I8" s="14">
        <v>360500000</v>
      </c>
      <c r="K8" s="15" t="s">
        <v>580</v>
      </c>
      <c r="L8" s="16">
        <v>37</v>
      </c>
    </row>
    <row r="9" spans="1:16" x14ac:dyDescent="0.35">
      <c r="E9" s="15" t="s">
        <v>151</v>
      </c>
      <c r="F9" s="14">
        <v>137260000</v>
      </c>
      <c r="H9" s="15" t="s">
        <v>575</v>
      </c>
      <c r="I9" s="14">
        <v>844610000</v>
      </c>
      <c r="K9" s="15" t="s">
        <v>575</v>
      </c>
      <c r="L9" s="16">
        <v>49</v>
      </c>
    </row>
    <row r="10" spans="1:16" x14ac:dyDescent="0.35">
      <c r="E10" s="15" t="s">
        <v>34</v>
      </c>
      <c r="F10" s="14">
        <v>165325000</v>
      </c>
    </row>
    <row r="11" spans="1:16" x14ac:dyDescent="0.35">
      <c r="E11" s="15" t="s">
        <v>68</v>
      </c>
      <c r="F11" s="14">
        <v>93370000</v>
      </c>
    </row>
    <row r="12" spans="1:16" x14ac:dyDescent="0.35">
      <c r="E12" s="15" t="s">
        <v>52</v>
      </c>
      <c r="F12" s="14">
        <v>240370000</v>
      </c>
    </row>
    <row r="13" spans="1:16" x14ac:dyDescent="0.35">
      <c r="E13" s="15" t="s">
        <v>47</v>
      </c>
      <c r="F13" s="14">
        <v>83060000</v>
      </c>
    </row>
    <row r="14" spans="1:16" x14ac:dyDescent="0.35">
      <c r="E14" s="15" t="s">
        <v>64</v>
      </c>
      <c r="F14" s="14">
        <v>29990000</v>
      </c>
    </row>
    <row r="15" spans="1:16" x14ac:dyDescent="0.35">
      <c r="E15" s="15" t="s">
        <v>575</v>
      </c>
      <c r="F15" s="14">
        <v>844610000</v>
      </c>
    </row>
  </sheetData>
  <mergeCells count="5">
    <mergeCell ref="A1:C1"/>
    <mergeCell ref="E1:F1"/>
    <mergeCell ref="H1:I1"/>
    <mergeCell ref="K1:L1"/>
    <mergeCell ref="N1:P1"/>
  </mergeCells>
  <pageMargins left="0.7" right="0.7" top="0.75" bottom="0.75" header="0.3" footer="0.3"/>
  <pageSetup orientation="portrait"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CEC8A-E3EF-4E08-9998-30F4899756CA}">
  <dimension ref="A1:F5"/>
  <sheetViews>
    <sheetView tabSelected="1" zoomScale="70" zoomScaleNormal="40" workbookViewId="0">
      <selection activeCell="F80" sqref="F80"/>
    </sheetView>
  </sheetViews>
  <sheetFormatPr defaultRowHeight="14.5" x14ac:dyDescent="0.35"/>
  <cols>
    <col min="1" max="1" width="21.54296875" customWidth="1"/>
    <col min="2" max="2" width="16.26953125" customWidth="1"/>
    <col min="3" max="3" width="26.36328125" customWidth="1"/>
    <col min="4" max="4" width="22.26953125" customWidth="1"/>
    <col min="5" max="5" width="19.08984375" customWidth="1"/>
  </cols>
  <sheetData>
    <row r="1" spans="1:6" ht="23.5" x14ac:dyDescent="0.55000000000000004">
      <c r="A1" s="21" t="s">
        <v>607</v>
      </c>
      <c r="B1" s="21"/>
      <c r="C1" s="21"/>
      <c r="D1" s="21"/>
      <c r="E1" s="21"/>
    </row>
    <row r="3" spans="1:6" ht="15.5" x14ac:dyDescent="0.35">
      <c r="A3" s="27" t="s">
        <v>11</v>
      </c>
      <c r="B3" s="28" t="s">
        <v>608</v>
      </c>
      <c r="C3" s="28" t="s">
        <v>609</v>
      </c>
      <c r="D3" s="29" t="s">
        <v>610</v>
      </c>
      <c r="E3" s="28" t="s">
        <v>612</v>
      </c>
      <c r="F3" s="20"/>
    </row>
    <row r="4" spans="1:6" ht="15.5" x14ac:dyDescent="0.35">
      <c r="A4" s="23">
        <f>SUM(GETPIVOTDATA("Total Nilai Persediaan",PIVOT!$A$5))</f>
        <v>0</v>
      </c>
      <c r="B4" s="24">
        <f>SUMPRODUCT(('Raw Data'!E2:E311&lt;&gt;"")/COUNTIF('Raw Data'!E2:E311,'Raw Data'!E2:E311&amp;""))</f>
        <v>9.9999999999999734</v>
      </c>
      <c r="C4" s="24">
        <f>SUM(GETPIVOTDATA("Kode Barang",PIVOT!$K$5,"Status","Menipis"))</f>
        <v>11</v>
      </c>
      <c r="D4" s="25">
        <f>SUM(GETPIVOTDATA("Sum of Jumlah Masuk",PIVOT!$N$5))</f>
        <v>3840</v>
      </c>
      <c r="E4" s="26">
        <f>SUM(GETPIVOTDATA("Sum of Jumlah Keluar",PIVOT!$N$5))</f>
        <v>1771</v>
      </c>
    </row>
    <row r="5" spans="1:6" x14ac:dyDescent="0.35">
      <c r="E5" s="22"/>
    </row>
  </sheetData>
  <mergeCells count="1">
    <mergeCell ref="A1:E1"/>
  </mergeCells>
  <pageMargins left="0.7" right="0.7" top="0.75" bottom="0.75" header="0.3" footer="0.3"/>
  <pageSetup orientation="portrait" r:id="rId1"/>
  <drawing r:id="rId2"/>
  <tableParts count="1">
    <tablePart r:id="rId3"/>
  </tableParts>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ADE51-709B-4A8D-8210-4969CC18EF5E}">
  <dimension ref="A1:B12"/>
  <sheetViews>
    <sheetView workbookViewId="0">
      <selection activeCell="E7" sqref="E7"/>
    </sheetView>
  </sheetViews>
  <sheetFormatPr defaultRowHeight="14.5" x14ac:dyDescent="0.35"/>
  <cols>
    <col min="1" max="1" width="20" customWidth="1"/>
    <col min="2" max="2" width="22.81640625" customWidth="1"/>
  </cols>
  <sheetData>
    <row r="1" spans="1:2" x14ac:dyDescent="0.35">
      <c r="A1" s="11" t="s">
        <v>588</v>
      </c>
      <c r="B1" s="11"/>
    </row>
    <row r="3" spans="1:2" x14ac:dyDescent="0.35">
      <c r="A3" s="19" t="s">
        <v>589</v>
      </c>
      <c r="B3" s="19" t="s">
        <v>129</v>
      </c>
    </row>
    <row r="5" spans="1:2" x14ac:dyDescent="0.35">
      <c r="A5" s="18" t="s">
        <v>591</v>
      </c>
      <c r="B5" s="18" t="s">
        <v>590</v>
      </c>
    </row>
    <row r="6" spans="1:2" x14ac:dyDescent="0.35">
      <c r="A6" s="13" t="s">
        <v>1</v>
      </c>
      <c r="B6" s="13" t="str">
        <f>INDEX('Raw Data'!B2:B311,MATCH(B3,'Raw Data'!A2:A311,0))</f>
        <v>Timbangan Analitik</v>
      </c>
    </row>
    <row r="7" spans="1:2" x14ac:dyDescent="0.35">
      <c r="A7" s="13" t="s">
        <v>2</v>
      </c>
      <c r="B7" s="13" t="str">
        <f>INDEX('Raw Data'!C2:C311,MATCH(B3,'Raw Data'!A2:A311,0))</f>
        <v>Alat Laboratorium</v>
      </c>
    </row>
    <row r="8" spans="1:2" x14ac:dyDescent="0.35">
      <c r="A8" s="13" t="s">
        <v>4</v>
      </c>
      <c r="B8" s="13" t="str">
        <f>INDEX('Raw Data'!E2:E311,MATCH(B3,'Raw Data'!A2:A311,0))</f>
        <v>CV Labware Indonesia</v>
      </c>
    </row>
    <row r="9" spans="1:2" x14ac:dyDescent="0.35">
      <c r="A9" s="13" t="s">
        <v>9</v>
      </c>
      <c r="B9" s="15">
        <f>INDEX('Raw Data'!J2:J311,MATCH(B3,'Raw Data'!A2:A311,0))</f>
        <v>1</v>
      </c>
    </row>
    <row r="10" spans="1:2" x14ac:dyDescent="0.35">
      <c r="A10" s="13" t="s">
        <v>13</v>
      </c>
      <c r="B10" s="13" t="str">
        <f>INDEX('Raw Data'!N2:N311,MATCH(B3,'Raw Data'!A2:A311,0))</f>
        <v>Menipis</v>
      </c>
    </row>
    <row r="11" spans="1:2" x14ac:dyDescent="0.35">
      <c r="A11" s="13" t="s">
        <v>12</v>
      </c>
      <c r="B11" s="13" t="str">
        <f>INDEX('Raw Data'!M2:M311,MATCH(B3,'Raw Data'!A2:A311,0))</f>
        <v>Gudang Utama A</v>
      </c>
    </row>
    <row r="12" spans="1:2" x14ac:dyDescent="0.35">
      <c r="A12" s="13" t="s">
        <v>14</v>
      </c>
      <c r="B12" s="13" t="str">
        <f>INDEX('Raw Data'!O2:O311,MATCH(B3,'Raw Data'!A2:A311,0))</f>
        <v>Agus Kurniawan</v>
      </c>
    </row>
  </sheetData>
  <mergeCells count="1">
    <mergeCell ref="A1:B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Data Olahan</vt:lpstr>
      <vt:lpstr>PIVOT</vt:lpstr>
      <vt:lpstr>Dashboard</vt:lpstr>
      <vt:lpstr>Search Inventory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Dinda Alithia Ningrum</cp:lastModifiedBy>
  <dcterms:created xsi:type="dcterms:W3CDTF">2026-07-12T10:53:17Z</dcterms:created>
  <dcterms:modified xsi:type="dcterms:W3CDTF">2026-07-18T13:28:37Z</dcterms:modified>
</cp:coreProperties>
</file>